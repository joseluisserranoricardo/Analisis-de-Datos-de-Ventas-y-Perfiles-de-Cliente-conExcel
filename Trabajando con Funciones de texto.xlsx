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00000000000000000\analisis de datos\Excel\"/>
    </mc:Choice>
  </mc:AlternateContent>
  <xr:revisionPtr revIDLastSave="0" documentId="8_{78641292-E321-4538-8565-43DB00E63D19}" xr6:coauthVersionLast="47" xr6:coauthVersionMax="47" xr10:uidLastSave="{00000000-0000-0000-0000-000000000000}"/>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a="1"/>
  <c r="A9" i="12" s="1"/>
  <c r="K2" i="11"/>
  <c r="L2" i="11" s="1"/>
  <c r="J2" i="9"/>
  <c r="N2" i="10"/>
  <c r="A3" i="12"/>
  <c r="A6" i="12" s="1" a="1"/>
  <c r="A6" i="12" s="1"/>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J2" i="11"/>
  <c r="M2" i="10"/>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B9" i="12" l="1"/>
  <c r="B10" i="12"/>
  <c r="B18" i="12"/>
  <c r="B11" i="12"/>
  <c r="B19" i="12"/>
  <c r="B12" i="12"/>
  <c r="B20" i="12"/>
  <c r="B13" i="12"/>
  <c r="B21" i="12"/>
  <c r="B14" i="12"/>
  <c r="B22" i="12"/>
  <c r="B15" i="12"/>
  <c r="B23" i="12"/>
  <c r="B24" i="12"/>
  <c r="B16" i="12"/>
  <c r="B17" i="12"/>
  <c r="B25" i="12"/>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<sst xmlns="http://schemas.openxmlformats.org/spreadsheetml/2006/main" count="610" uniqueCount="96">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</sst>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 sqref="H2"/>
    </sheetView>
  </sheetViews>
  <sheetFormatPr baseColWidth="10" defaultColWidth="8.88671875"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Q3">
        <f t="shared" ref="Q3:Q21" si="0">FIND(",", G3)+LEN(", ")</f>
        <v>10</v>
      </c>
      <c r="R3">
        <f t="shared" ref="R3:R21" si="1">FIND(",",G3,Q3)</f>
        <v>12</v>
      </c>
      <c r="S3" t="str">
        <f t="shared" ref="S3:S21" si="2">MID(G3,Q3,R3-Q3)</f>
        <v>IL</v>
      </c>
    </row>
    <row r="4" spans="1:22" x14ac:dyDescent="0.3">
      <c r="A4" s="5" t="s">
        <v>73</v>
      </c>
      <c r="B4" s="1" t="s">
        <v>58</v>
      </c>
      <c r="C4" s="1" t="s">
        <v>12</v>
      </c>
      <c r="D4" s="11">
        <v>45128.729710648149</v>
      </c>
      <c r="E4" s="1" t="s">
        <v>59</v>
      </c>
      <c r="F4" s="1" t="s">
        <v>27</v>
      </c>
      <c r="G4" s="1" t="s">
        <v>26</v>
      </c>
      <c r="H4" s="6" t="s">
        <v>6</v>
      </c>
      <c r="Q4">
        <f t="shared" si="0"/>
        <v>10</v>
      </c>
      <c r="R4">
        <f t="shared" si="1"/>
        <v>12</v>
      </c>
      <c r="S4" t="str">
        <f t="shared" si="2"/>
        <v>IL</v>
      </c>
    </row>
    <row r="5" spans="1:22" x14ac:dyDescent="0.3">
      <c r="A5" s="5" t="s">
        <v>74</v>
      </c>
      <c r="B5" s="1" t="s">
        <v>42</v>
      </c>
      <c r="C5" s="1" t="s">
        <v>5</v>
      </c>
      <c r="D5" s="11">
        <v>45173.302187499998</v>
      </c>
      <c r="E5" s="1" t="s">
        <v>43</v>
      </c>
      <c r="F5" s="1" t="s">
        <v>23</v>
      </c>
      <c r="G5" s="1" t="s">
        <v>24</v>
      </c>
      <c r="H5" s="6" t="s">
        <v>11</v>
      </c>
      <c r="Q5">
        <f t="shared" si="0"/>
        <v>11</v>
      </c>
      <c r="R5">
        <f t="shared" si="1"/>
        <v>13</v>
      </c>
      <c r="S5" t="str">
        <f t="shared" si="2"/>
        <v>CA</v>
      </c>
    </row>
    <row r="6" spans="1:22" x14ac:dyDescent="0.3">
      <c r="A6" s="5" t="s">
        <v>75</v>
      </c>
      <c r="B6" s="1" t="s">
        <v>40</v>
      </c>
      <c r="C6" s="1" t="s">
        <v>7</v>
      </c>
      <c r="D6" s="11">
        <v>45248.70857638889</v>
      </c>
      <c r="E6" s="1" t="s">
        <v>41</v>
      </c>
      <c r="F6" s="1" t="s">
        <v>29</v>
      </c>
      <c r="G6" s="1" t="s">
        <v>30</v>
      </c>
      <c r="H6" s="6" t="s">
        <v>10</v>
      </c>
      <c r="Q6">
        <f t="shared" si="0"/>
        <v>15</v>
      </c>
      <c r="R6">
        <f t="shared" si="1"/>
        <v>17</v>
      </c>
      <c r="S6" t="str">
        <f t="shared" si="2"/>
        <v>PA</v>
      </c>
    </row>
    <row r="7" spans="1:22" x14ac:dyDescent="0.3">
      <c r="A7" s="5" t="s">
        <v>76</v>
      </c>
      <c r="B7" s="1" t="s">
        <v>46</v>
      </c>
      <c r="C7" s="1" t="s">
        <v>9</v>
      </c>
      <c r="D7" s="11">
        <v>45302.531921296293</v>
      </c>
      <c r="E7" s="1" t="s">
        <v>47</v>
      </c>
      <c r="F7" s="1" t="s">
        <v>31</v>
      </c>
      <c r="G7" s="1" t="s">
        <v>30</v>
      </c>
      <c r="H7" s="6" t="s">
        <v>15</v>
      </c>
      <c r="Q7">
        <f t="shared" si="0"/>
        <v>15</v>
      </c>
      <c r="R7">
        <f t="shared" si="1"/>
        <v>17</v>
      </c>
      <c r="S7" t="str">
        <f t="shared" si="2"/>
        <v>PA</v>
      </c>
    </row>
    <row r="8" spans="1:22" x14ac:dyDescent="0.3">
      <c r="A8" s="5" t="s">
        <v>77</v>
      </c>
      <c r="B8" s="1" t="s">
        <v>58</v>
      </c>
      <c r="C8" s="1" t="s">
        <v>5</v>
      </c>
      <c r="D8" s="11">
        <v>45354.687881944446</v>
      </c>
      <c r="E8" s="1" t="s">
        <v>59</v>
      </c>
      <c r="F8" s="1" t="s">
        <v>27</v>
      </c>
      <c r="G8" s="1" t="s">
        <v>26</v>
      </c>
      <c r="H8" s="6" t="s">
        <v>6</v>
      </c>
      <c r="Q8">
        <f t="shared" si="0"/>
        <v>10</v>
      </c>
      <c r="R8">
        <f t="shared" si="1"/>
        <v>12</v>
      </c>
      <c r="S8" t="str">
        <f t="shared" si="2"/>
        <v>IL</v>
      </c>
    </row>
    <row r="9" spans="1:22" x14ac:dyDescent="0.3">
      <c r="A9" s="5" t="s">
        <v>78</v>
      </c>
      <c r="B9" s="1" t="s">
        <v>46</v>
      </c>
      <c r="C9" s="1" t="s">
        <v>1</v>
      </c>
      <c r="D9" s="11">
        <v>45408.340810185182</v>
      </c>
      <c r="E9" s="1" t="s">
        <v>47</v>
      </c>
      <c r="F9" s="1" t="s">
        <v>31</v>
      </c>
      <c r="G9" s="1" t="s">
        <v>30</v>
      </c>
      <c r="H9" s="6" t="s">
        <v>15</v>
      </c>
      <c r="Q9">
        <f t="shared" si="0"/>
        <v>15</v>
      </c>
      <c r="R9">
        <f t="shared" si="1"/>
        <v>17</v>
      </c>
      <c r="S9" t="str">
        <f t="shared" si="2"/>
        <v>PA</v>
      </c>
    </row>
    <row r="10" spans="1:22" x14ac:dyDescent="0.3">
      <c r="A10" s="5" t="s">
        <v>79</v>
      </c>
      <c r="B10" s="1" t="s">
        <v>50</v>
      </c>
      <c r="C10" s="1" t="s">
        <v>7</v>
      </c>
      <c r="D10" s="11">
        <v>45458.743333333332</v>
      </c>
      <c r="E10" s="1" t="s">
        <v>51</v>
      </c>
      <c r="F10" s="1" t="s">
        <v>33</v>
      </c>
      <c r="G10" s="1" t="s">
        <v>26</v>
      </c>
      <c r="H10" s="6" t="s">
        <v>18</v>
      </c>
      <c r="Q10">
        <f t="shared" si="0"/>
        <v>10</v>
      </c>
      <c r="R10">
        <f t="shared" si="1"/>
        <v>12</v>
      </c>
      <c r="S10" t="str">
        <f t="shared" si="2"/>
        <v>IL</v>
      </c>
    </row>
    <row r="11" spans="1:22" x14ac:dyDescent="0.3">
      <c r="A11" s="5" t="s">
        <v>80</v>
      </c>
      <c r="B11" s="1" t="s">
        <v>54</v>
      </c>
      <c r="C11" s="1" t="s">
        <v>12</v>
      </c>
      <c r="D11" s="11">
        <v>45480.608055555553</v>
      </c>
      <c r="E11" s="1" t="s">
        <v>55</v>
      </c>
      <c r="F11" s="1" t="s">
        <v>33</v>
      </c>
      <c r="G11" s="1" t="s">
        <v>32</v>
      </c>
      <c r="H11" s="6" t="s">
        <v>13</v>
      </c>
      <c r="Q11">
        <f t="shared" si="0"/>
        <v>14</v>
      </c>
      <c r="R11">
        <f t="shared" si="1"/>
        <v>16</v>
      </c>
      <c r="S11" t="str">
        <f t="shared" si="2"/>
        <v>CA</v>
      </c>
    </row>
    <row r="12" spans="1:22" x14ac:dyDescent="0.3">
      <c r="A12" s="5" t="s">
        <v>81</v>
      </c>
      <c r="B12" s="1" t="s">
        <v>44</v>
      </c>
      <c r="C12" s="1" t="s">
        <v>7</v>
      </c>
      <c r="D12" s="11">
        <v>45455.284930555557</v>
      </c>
      <c r="E12" s="1" t="s">
        <v>45</v>
      </c>
      <c r="F12" s="1" t="s">
        <v>33</v>
      </c>
      <c r="G12" s="1" t="s">
        <v>34</v>
      </c>
      <c r="H12" s="6" t="s">
        <v>17</v>
      </c>
      <c r="Q12">
        <f t="shared" si="0"/>
        <v>12</v>
      </c>
      <c r="R12">
        <f t="shared" si="1"/>
        <v>14</v>
      </c>
      <c r="S12" t="str">
        <f t="shared" si="2"/>
        <v>CA</v>
      </c>
    </row>
    <row r="13" spans="1:22" x14ac:dyDescent="0.3">
      <c r="A13" s="5" t="s">
        <v>82</v>
      </c>
      <c r="B13" s="1" t="s">
        <v>56</v>
      </c>
      <c r="C13" s="1" t="s">
        <v>9</v>
      </c>
      <c r="D13" s="11">
        <v>44951.552141203705</v>
      </c>
      <c r="E13" s="1" t="s">
        <v>57</v>
      </c>
      <c r="F13" s="1" t="s">
        <v>35</v>
      </c>
      <c r="G13" s="1" t="s">
        <v>26</v>
      </c>
      <c r="H13" s="6" t="s">
        <v>16</v>
      </c>
      <c r="Q13">
        <f t="shared" si="0"/>
        <v>10</v>
      </c>
      <c r="R13">
        <f t="shared" si="1"/>
        <v>12</v>
      </c>
      <c r="S13" t="str">
        <f t="shared" si="2"/>
        <v>IL</v>
      </c>
    </row>
    <row r="14" spans="1:22" x14ac:dyDescent="0.3">
      <c r="A14" s="5" t="s">
        <v>83</v>
      </c>
      <c r="B14" s="1" t="s">
        <v>46</v>
      </c>
      <c r="C14" s="1" t="s">
        <v>12</v>
      </c>
      <c r="D14" s="11">
        <v>45002.490034722221</v>
      </c>
      <c r="E14" s="1" t="s">
        <v>47</v>
      </c>
      <c r="F14" s="1" t="s">
        <v>31</v>
      </c>
      <c r="G14" s="1" t="s">
        <v>30</v>
      </c>
      <c r="H14" s="6" t="s">
        <v>15</v>
      </c>
      <c r="Q14">
        <f t="shared" si="0"/>
        <v>15</v>
      </c>
      <c r="R14">
        <f t="shared" si="1"/>
        <v>17</v>
      </c>
      <c r="S14" t="str">
        <f t="shared" si="2"/>
        <v>PA</v>
      </c>
    </row>
    <row r="15" spans="1:22" x14ac:dyDescent="0.3">
      <c r="A15" s="5" t="s">
        <v>84</v>
      </c>
      <c r="B15" s="1" t="s">
        <v>52</v>
      </c>
      <c r="C15" s="1" t="s">
        <v>9</v>
      </c>
      <c r="D15" s="11">
        <v>45078.417256944442</v>
      </c>
      <c r="E15" s="1" t="s">
        <v>53</v>
      </c>
      <c r="F15" s="1" t="s">
        <v>33</v>
      </c>
      <c r="G15" s="1" t="s">
        <v>26</v>
      </c>
      <c r="H15" s="6" t="s">
        <v>19</v>
      </c>
      <c r="Q15">
        <f t="shared" si="0"/>
        <v>10</v>
      </c>
      <c r="R15">
        <f t="shared" si="1"/>
        <v>12</v>
      </c>
      <c r="S15" t="str">
        <f t="shared" si="2"/>
        <v>IL</v>
      </c>
    </row>
    <row r="16" spans="1:22" x14ac:dyDescent="0.3">
      <c r="A16" s="5" t="s">
        <v>85</v>
      </c>
      <c r="B16" s="1" t="s">
        <v>60</v>
      </c>
      <c r="C16" s="1" t="s">
        <v>9</v>
      </c>
      <c r="D16" s="11">
        <v>45168.729328703703</v>
      </c>
      <c r="E16" s="1" t="s">
        <v>61</v>
      </c>
      <c r="F16" s="1" t="s">
        <v>28</v>
      </c>
      <c r="G16" s="1" t="s">
        <v>26</v>
      </c>
      <c r="H16" s="6" t="s">
        <v>20</v>
      </c>
      <c r="Q16">
        <f t="shared" si="0"/>
        <v>10</v>
      </c>
      <c r="R16">
        <f t="shared" si="1"/>
        <v>12</v>
      </c>
      <c r="S16" t="str">
        <f t="shared" si="2"/>
        <v>IL</v>
      </c>
    </row>
    <row r="17" spans="1:19" x14ac:dyDescent="0.3">
      <c r="A17" s="5" t="s">
        <v>86</v>
      </c>
      <c r="B17" s="1" t="s">
        <v>38</v>
      </c>
      <c r="C17" s="1" t="s">
        <v>7</v>
      </c>
      <c r="D17" s="11">
        <v>45218.319780092592</v>
      </c>
      <c r="E17" s="1" t="s">
        <v>39</v>
      </c>
      <c r="F17" s="1" t="s">
        <v>25</v>
      </c>
      <c r="G17" s="1" t="s">
        <v>37</v>
      </c>
      <c r="H17" s="6" t="s">
        <v>14</v>
      </c>
      <c r="Q17">
        <f t="shared" si="0"/>
        <v>10</v>
      </c>
      <c r="R17">
        <f t="shared" si="1"/>
        <v>12</v>
      </c>
      <c r="S17" t="str">
        <f t="shared" si="2"/>
        <v>IL</v>
      </c>
    </row>
    <row r="18" spans="1:19" x14ac:dyDescent="0.3">
      <c r="A18" s="5" t="s">
        <v>87</v>
      </c>
      <c r="B18" s="1" t="s">
        <v>40</v>
      </c>
      <c r="C18" s="1" t="s">
        <v>12</v>
      </c>
      <c r="D18" s="11">
        <v>45350.719236111108</v>
      </c>
      <c r="E18" s="1" t="s">
        <v>41</v>
      </c>
      <c r="F18" s="1" t="s">
        <v>29</v>
      </c>
      <c r="G18" s="1" t="s">
        <v>30</v>
      </c>
      <c r="H18" s="6" t="s">
        <v>10</v>
      </c>
      <c r="Q18">
        <f t="shared" si="0"/>
        <v>15</v>
      </c>
      <c r="R18">
        <f t="shared" si="1"/>
        <v>17</v>
      </c>
      <c r="S18" t="str">
        <f t="shared" si="2"/>
        <v>PA</v>
      </c>
    </row>
    <row r="19" spans="1:19" x14ac:dyDescent="0.3">
      <c r="A19" s="5" t="s">
        <v>88</v>
      </c>
      <c r="B19" s="1" t="s">
        <v>48</v>
      </c>
      <c r="C19" s="1" t="s">
        <v>7</v>
      </c>
      <c r="D19" s="11">
        <v>45418.726354166669</v>
      </c>
      <c r="E19" s="1" t="s">
        <v>49</v>
      </c>
      <c r="F19" s="1" t="s">
        <v>28</v>
      </c>
      <c r="G19" s="1" t="s">
        <v>36</v>
      </c>
      <c r="H19" s="6" t="s">
        <v>8</v>
      </c>
      <c r="Q19">
        <f t="shared" si="0"/>
        <v>11</v>
      </c>
      <c r="R19">
        <f t="shared" si="1"/>
        <v>13</v>
      </c>
      <c r="S19" t="str">
        <f t="shared" si="2"/>
        <v>NY</v>
      </c>
    </row>
    <row r="20" spans="1:19" x14ac:dyDescent="0.3">
      <c r="A20" s="5" t="s">
        <v>89</v>
      </c>
      <c r="B20" s="1" t="s">
        <v>40</v>
      </c>
      <c r="C20" s="1" t="s">
        <v>9</v>
      </c>
      <c r="D20" s="11">
        <v>45496.291701388887</v>
      </c>
      <c r="E20" s="1" t="s">
        <v>41</v>
      </c>
      <c r="F20" s="1" t="s">
        <v>29</v>
      </c>
      <c r="G20" s="1" t="s">
        <v>30</v>
      </c>
      <c r="H20" s="6" t="s">
        <v>10</v>
      </c>
      <c r="Q20">
        <f t="shared" si="0"/>
        <v>15</v>
      </c>
      <c r="R20">
        <f t="shared" si="1"/>
        <v>17</v>
      </c>
      <c r="S20" t="str">
        <f t="shared" si="2"/>
        <v>PA</v>
      </c>
    </row>
    <row r="21" spans="1:19" ht="15" thickBot="1" x14ac:dyDescent="0.35">
      <c r="A21" s="5" t="s">
        <v>90</v>
      </c>
      <c r="B21" s="7" t="s">
        <v>40</v>
      </c>
      <c r="C21" s="7" t="s">
        <v>9</v>
      </c>
      <c r="D21" s="12">
        <v>45422.739884259259</v>
      </c>
      <c r="E21" s="7" t="s">
        <v>41</v>
      </c>
      <c r="F21" s="7" t="s">
        <v>29</v>
      </c>
      <c r="G21" s="7" t="s">
        <v>36</v>
      </c>
      <c r="H21" s="8" t="s">
        <v>10</v>
      </c>
      <c r="Q21">
        <f t="shared" si="0"/>
        <v>11</v>
      </c>
      <c r="R21">
        <f t="shared" si="1"/>
        <v>13</v>
      </c>
      <c r="S21" t="str">
        <f t="shared" si="2"/>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election activeCell="J2" sqref="J2"/>
    </sheetView>
  </sheetViews>
  <sheetFormatPr baseColWidth="10" defaultColWidth="8.88671875"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G1" workbookViewId="0">
      <selection activeCell="N2" sqref="N2"/>
    </sheetView>
  </sheetViews>
  <sheetFormatPr baseColWidth="10" defaultColWidth="8.88671875"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election activeCell="L2" sqref="L2"/>
    </sheetView>
  </sheetViews>
  <sheetFormatPr baseColWidth="10" defaultColWidth="8.88671875"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B9" sqref="B9"/>
    </sheetView>
  </sheetViews>
  <sheetFormatPr baseColWidth="10" defaultColWidth="8.88671875"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c r="N9" t="s">
        <v>95</v>
      </c>
    </row>
    <row r="10" spans="1:75" x14ac:dyDescent="0.3">
      <c r="A10" s="1" t="str">
        <v>DataBricks</v>
      </c>
      <c r="B10" s="1">
        <f t="shared" ref="B10:B25" si="0">COUNTIF($6:$6,A10)</f>
        <v>12</v>
      </c>
      <c r="N10">
        <v>127000</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Serrano; J SERRANO</dc:creator>
  <cp:lastModifiedBy>José Luis Serrano Ricardo</cp:lastModifiedBy>
  <dcterms:created xsi:type="dcterms:W3CDTF">2015-06-05T18:17:20Z</dcterms:created>
  <dcterms:modified xsi:type="dcterms:W3CDTF">2025-12-08T01:25:29Z</dcterms:modified>
</cp:coreProperties>
</file>
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Excel\"/>
    </mc:Choice>
  </mc:AlternateContent>
  <xr:revisionPtr revIDLastSave="0" documentId="8_{06C81ECE-FDA1-4FEA-B632-1994200E6C41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9" l="1"/>
  <c r="C16" i="9"/>
  <c r="D15" i="9"/>
  <c r="E15" i="9"/>
  <c r="C15" i="9"/>
  <c r="D13" i="9"/>
  <c r="D14" i="9" s="1"/>
  <c r="E13" i="9"/>
  <c r="E14" i="9" s="1"/>
  <c r="C13" i="9"/>
  <c r="C14" i="9" s="1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J7" i="9" l="1"/>
  <c r="F14" i="9"/>
  <c r="M12" i="9"/>
  <c r="J12" i="9"/>
  <c r="J11" i="9"/>
  <c r="M11" i="9"/>
  <c r="M10" i="9"/>
  <c r="J10" i="9"/>
  <c r="J9" i="9"/>
  <c r="M9" i="9"/>
  <c r="J8" i="9"/>
  <c r="M8" i="9"/>
  <c r="N8" i="9" s="1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N3" i="9"/>
  <c r="N12" i="9"/>
  <c r="N11" i="9"/>
  <c r="N9" i="9"/>
  <c r="N6" i="9"/>
  <c r="N5" i="9"/>
  <c r="N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<sst xmlns="http://schemas.openxmlformats.org/spreadsheetml/2006/main" count="80" uniqueCount="49">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</sst>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Q16"/>
  <sheetViews>
    <sheetView tabSelected="1" zoomScale="120" zoomScaleNormal="120" workbookViewId="0">
      <selection activeCell="P17" sqref="P17"/>
    </sheetView>
  </sheetViews>
  <sheetFormatPr baseColWidth="10"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9" style="1"/>
    <col min="16" max="16" width="14" style="1" bestFit="1" customWidth="1"/>
    <col min="17" max="16384" width="9" style="1"/>
  </cols>
  <sheetData>
    <row r="1" spans="2:17" ht="15" thickBot="1" x14ac:dyDescent="0.35">
      <c r="G1" s="28"/>
    </row>
    <row r="2" spans="2:17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P2" s="14" t="s">
        <v>24</v>
      </c>
      <c r="Q2" s="1"/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$Q$3&lt;=C3</f>
        <v>1</v>
      </c>
      <c r="M3" s="22" t="b">
        <f>$G3&gt;=$Q$4</f>
        <v>1</v>
      </c>
      <c r="N3" s="22">
        <f>L3*M3</f>
        <v>1</v>
      </c>
      <c r="P3" s="10" t="s">
        <v>22</v>
      </c>
      <c r="Q3" s="11">
        <v>5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1">C4</f>
        <v>4</v>
      </c>
      <c r="G4" s="22">
        <f t="shared" ref="G4:G12" si="2">D4+E4</f>
        <v>147000</v>
      </c>
      <c r="H4" s="23">
        <f t="shared" ref="H4:H12" si="3">E4/D4</f>
        <v>8.8888888888888892E-2</v>
      </c>
      <c r="I4" s="24">
        <f t="shared" ref="I4:I12" si="4">D4+D4*H4</f>
        <v>147000</v>
      </c>
      <c r="J4" s="22" t="b">
        <f t="shared" ref="J4:J12" si="5">G4=I4</f>
        <v>1</v>
      </c>
      <c r="K4" s="22" t="b">
        <f t="shared" ref="K4:K12" si="6">E4&gt;D4</f>
        <v>0</v>
      </c>
      <c r="L4" s="22" t="b">
        <f t="shared" si="0"/>
        <v>0</v>
      </c>
      <c r="M4" s="22" t="b">
        <f>$G4&gt;=$Q$4</f>
        <v>1</v>
      </c>
      <c r="N4" s="22">
        <f t="shared" ref="N4:N12" si="7">L4*M4</f>
        <v>0</v>
      </c>
      <c r="P4" s="12" t="s">
        <v>23</v>
      </c>
      <c r="Q4" s="13">
        <v>90000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1"/>
        <v>2</v>
      </c>
      <c r="G5" s="22">
        <f t="shared" si="2"/>
        <v>80000</v>
      </c>
      <c r="H5" s="23">
        <f t="shared" si="3"/>
        <v>6.6666666666666666E-2</v>
      </c>
      <c r="I5" s="24">
        <f t="shared" si="4"/>
        <v>80000</v>
      </c>
      <c r="J5" s="22" t="b">
        <f t="shared" si="5"/>
        <v>1</v>
      </c>
      <c r="K5" s="22" t="b">
        <f t="shared" si="6"/>
        <v>0</v>
      </c>
      <c r="L5" s="22" t="b">
        <f t="shared" si="0"/>
        <v>0</v>
      </c>
      <c r="M5" s="22" t="b">
        <f>$G5&gt;=$Q$4</f>
        <v>0</v>
      </c>
      <c r="N5" s="22">
        <f t="shared" si="7"/>
        <v>0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1"/>
        <v>6</v>
      </c>
      <c r="G6" s="22">
        <f t="shared" si="2"/>
        <v>118000</v>
      </c>
      <c r="H6" s="23">
        <f t="shared" si="3"/>
        <v>7.2727272727272724E-2</v>
      </c>
      <c r="I6" s="24">
        <f t="shared" si="4"/>
        <v>118000</v>
      </c>
      <c r="J6" s="22" t="b">
        <f t="shared" si="5"/>
        <v>1</v>
      </c>
      <c r="K6" s="22" t="b">
        <f t="shared" si="6"/>
        <v>0</v>
      </c>
      <c r="L6" s="22" t="b">
        <f t="shared" si="0"/>
        <v>1</v>
      </c>
      <c r="M6" s="22" t="b">
        <f>$G6&gt;=$Q$4</f>
        <v>1</v>
      </c>
      <c r="N6" s="22">
        <f t="shared" si="7"/>
        <v>1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1"/>
        <v>3</v>
      </c>
      <c r="G7" s="22">
        <f t="shared" si="2"/>
        <v>136000</v>
      </c>
      <c r="H7" s="23">
        <f t="shared" si="3"/>
        <v>8.7999999999999995E-2</v>
      </c>
      <c r="I7" s="24">
        <f t="shared" si="4"/>
        <v>136000</v>
      </c>
      <c r="J7" s="22" t="b">
        <f t="shared" si="5"/>
        <v>1</v>
      </c>
      <c r="K7" s="22" t="b">
        <f t="shared" si="6"/>
        <v>0</v>
      </c>
      <c r="L7" s="22" t="b">
        <f t="shared" si="0"/>
        <v>0</v>
      </c>
      <c r="M7" s="22" t="b">
        <f>$G7&gt;=$Q$4</f>
        <v>1</v>
      </c>
      <c r="N7" s="22">
        <f t="shared" si="7"/>
        <v>0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1"/>
        <v>7</v>
      </c>
      <c r="G8" s="22">
        <f t="shared" si="2"/>
        <v>97000</v>
      </c>
      <c r="H8" s="23">
        <f t="shared" si="3"/>
        <v>7.7777777777777779E-2</v>
      </c>
      <c r="I8" s="24">
        <f t="shared" si="4"/>
        <v>97000</v>
      </c>
      <c r="J8" s="22" t="b">
        <f t="shared" si="5"/>
        <v>1</v>
      </c>
      <c r="K8" s="22" t="b">
        <f t="shared" si="6"/>
        <v>0</v>
      </c>
      <c r="L8" s="22" t="b">
        <f t="shared" si="0"/>
        <v>1</v>
      </c>
      <c r="M8" s="22" t="b">
        <f>$G8&gt;=$Q$4</f>
        <v>1</v>
      </c>
      <c r="N8" s="22">
        <f t="shared" si="7"/>
        <v>1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1"/>
        <v>10</v>
      </c>
      <c r="G9" s="22">
        <f t="shared" si="2"/>
        <v>165000</v>
      </c>
      <c r="H9" s="23">
        <f t="shared" si="3"/>
        <v>0.1</v>
      </c>
      <c r="I9" s="24">
        <f t="shared" si="4"/>
        <v>165000</v>
      </c>
      <c r="J9" s="22" t="b">
        <f t="shared" si="5"/>
        <v>1</v>
      </c>
      <c r="K9" s="22" t="b">
        <f t="shared" si="6"/>
        <v>0</v>
      </c>
      <c r="L9" s="22" t="b">
        <f t="shared" si="0"/>
        <v>1</v>
      </c>
      <c r="M9" s="22" t="b">
        <f>$G9&gt;=$Q$4</f>
        <v>1</v>
      </c>
      <c r="N9" s="22">
        <f t="shared" si="7"/>
        <v>1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1"/>
        <v>8</v>
      </c>
      <c r="G10" s="22">
        <f t="shared" si="2"/>
        <v>143000</v>
      </c>
      <c r="H10" s="23">
        <f t="shared" si="3"/>
        <v>0.1</v>
      </c>
      <c r="I10" s="24">
        <f t="shared" si="4"/>
        <v>143000</v>
      </c>
      <c r="J10" s="22" t="b">
        <f t="shared" si="5"/>
        <v>1</v>
      </c>
      <c r="K10" s="22" t="b">
        <f t="shared" si="6"/>
        <v>0</v>
      </c>
      <c r="L10" s="22" t="b">
        <f t="shared" si="0"/>
        <v>1</v>
      </c>
      <c r="M10" s="22" t="b">
        <f>$G10&gt;=$Q$4</f>
        <v>1</v>
      </c>
      <c r="N10" s="22">
        <f t="shared" si="7"/>
        <v>1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1"/>
        <v>3</v>
      </c>
      <c r="G11" s="22">
        <f t="shared" si="2"/>
        <v>154000</v>
      </c>
      <c r="H11" s="23">
        <f t="shared" si="3"/>
        <v>0.1</v>
      </c>
      <c r="I11" s="24">
        <f t="shared" si="4"/>
        <v>154000</v>
      </c>
      <c r="J11" s="22" t="b">
        <f t="shared" si="5"/>
        <v>1</v>
      </c>
      <c r="K11" s="22" t="b">
        <f t="shared" si="6"/>
        <v>0</v>
      </c>
      <c r="L11" s="22" t="b">
        <f t="shared" si="0"/>
        <v>0</v>
      </c>
      <c r="M11" s="22" t="b">
        <f>$G11&gt;=$Q$4</f>
        <v>1</v>
      </c>
      <c r="N11" s="22">
        <f t="shared" si="7"/>
        <v>0</v>
      </c>
    </row>
    <row r="12" spans="2:17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1"/>
        <v>5</v>
      </c>
      <c r="G12" s="22">
        <f t="shared" si="2"/>
        <v>124000</v>
      </c>
      <c r="H12" s="23">
        <f t="shared" si="3"/>
        <v>7.8260869565217397E-2</v>
      </c>
      <c r="I12" s="24">
        <f t="shared" si="4"/>
        <v>124000</v>
      </c>
      <c r="J12" s="22" t="b">
        <f t="shared" si="5"/>
        <v>1</v>
      </c>
      <c r="K12" s="22" t="b">
        <f t="shared" si="6"/>
        <v>0</v>
      </c>
      <c r="L12" s="22" t="b">
        <f t="shared" si="0"/>
        <v>1</v>
      </c>
      <c r="M12" s="22" t="b">
        <f>$G12&gt;=$Q$4</f>
        <v>1</v>
      </c>
      <c r="N12" s="22">
        <f t="shared" si="7"/>
        <v>1</v>
      </c>
    </row>
    <row r="13" spans="2:17" ht="15" thickTop="1" x14ac:dyDescent="0.3">
      <c r="B13" s="29" t="s">
        <v>27</v>
      </c>
      <c r="C13" s="19">
        <f>AVERAGE(C3:C12)</f>
        <v>5.3</v>
      </c>
      <c r="D13" s="19">
        <f t="shared" ref="D13:E13" si="8">AVERAGE(D3:D12)</f>
        <v>119000</v>
      </c>
      <c r="E13" s="19">
        <f t="shared" si="8"/>
        <v>10400</v>
      </c>
    </row>
    <row r="14" spans="2:17" ht="15" thickBot="1" x14ac:dyDescent="0.35">
      <c r="B14" s="31" t="s">
        <v>28</v>
      </c>
      <c r="C14" s="19">
        <f>AVERAGE(C4:C13)</f>
        <v>5.33</v>
      </c>
      <c r="D14" s="19">
        <f>AVERAGE(D4:D13)</f>
        <v>118900</v>
      </c>
      <c r="E14" s="19">
        <f t="shared" ref="E14" si="9">AVERAGE(E4:E13)</f>
        <v>10440</v>
      </c>
      <c r="F14" s="19">
        <f t="shared" ref="F14" si="10">AVERAGE(F4:F13)</f>
        <v>5.333333333333333</v>
      </c>
    </row>
    <row r="15" spans="2:17" ht="15" thickTop="1" x14ac:dyDescent="0.3">
      <c r="B15" s="29" t="s">
        <v>30</v>
      </c>
      <c r="C15" s="19">
        <f>COUNT(C3:C12)</f>
        <v>10</v>
      </c>
      <c r="D15" s="19">
        <f t="shared" ref="D15:E15" si="11">COUNT(D3:D12)</f>
        <v>10</v>
      </c>
      <c r="E15" s="19">
        <f t="shared" si="11"/>
        <v>10</v>
      </c>
    </row>
    <row r="16" spans="2:17" x14ac:dyDescent="0.3">
      <c r="B16" s="33" t="s">
        <v>31</v>
      </c>
      <c r="C16" s="18">
        <f>COUNTIF($C$3:$C$12,"&lt;="&amp;Q3)</f>
        <v>6</v>
      </c>
      <c r="D16" s="18">
        <f>COUNTIF($D$3:$D$12,"&gt;="&amp;Q4)</f>
        <v>9</v>
      </c>
      <c r="E16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baseColWidth="10"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baseColWidth="10" defaultColWidth="8.88671875"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Serrano</dc:creator>
  <cp:lastModifiedBy>José Luis Serrano Ricardo</cp:lastModifiedBy>
  <dcterms:created xsi:type="dcterms:W3CDTF">2024-07-16T20:11:02Z</dcterms:created>
  <dcterms:modified xsi:type="dcterms:W3CDTF">2025-12-04T23:00:36Z</dcterms:modified>
</cp:coreProperties>
</file>
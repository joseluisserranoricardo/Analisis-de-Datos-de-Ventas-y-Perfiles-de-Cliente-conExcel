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nzamientos respaldo\Contenidos - Youtube - Video Corto\Excel - Youtube\Excel - Uso de Numeral - Matrices Dinámicas\"/>
    </mc:Choice>
  </mc:AlternateContent>
  <xr:revisionPtr revIDLastSave="334" documentId="13_ncr:1_{CB1120D8-CD82-4C9A-B88E-F4AB0C214E7F}" xr6:coauthVersionLast="47" xr6:coauthVersionMax="47" xr10:uidLastSave="{52F8A122-A892-409C-82C9-45F54B5B962A}"/>
  <bookViews>
    <workbookView xWindow="-120" yWindow="-120" windowWidth="29040" windowHeight="15720" firstSheet="4" activeTab="2" xr2:uid="{54DEE1B0-564F-4E35-85CB-00859B56D0A3}"/>
  </bookViews>
  <sheets>
    <sheet name="Comienza aquí --&gt;" sheetId="18" r:id="rId1"/>
    <sheet name="1" sheetId="15" r:id="rId2"/>
    <sheet name="Hoja1" sheetId="20" r:id="rId3"/>
    <sheet name="2" sheetId="10" r:id="rId4"/>
    <sheet name="3" sheetId="16" r:id="rId5"/>
    <sheet name="eve" sheetId="19" r:id="rId6"/>
    <sheet name="Hoja2" sheetId="2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5" l="1" a="1"/>
  <c r="I3" i="15"/>
  <c r="J4" i="10" a="1"/>
  <c r="J4" i="10"/>
  <c r="F11" i="10" a="1"/>
  <c r="F11" i="10"/>
  <c r="G8" i="10" s="1"/>
  <c r="O3" i="20" a="1"/>
  <c r="O3" i="20"/>
  <c r="I12" i="20" a="1"/>
  <c r="I12" i="20"/>
  <c r="J7" i="20" s="1"/>
  <c r="F2" i="20" a="1"/>
  <c r="F2" i="20"/>
  <c r="G2" i="20" s="1"/>
  <c r="D2" i="20" a="1"/>
  <c r="D2" i="20"/>
  <c r="L3" i="16" a="1"/>
  <c r="L3" i="16"/>
  <c r="M2" i="19" a="1"/>
  <c r="M2" i="19"/>
  <c r="J14" i="19" a="1"/>
  <c r="J14" i="19"/>
  <c r="E2" i="19" a="1"/>
  <c r="E2" i="19"/>
  <c r="G2" i="19" a="1"/>
  <c r="G2" i="19"/>
  <c r="H6" i="19" s="1"/>
  <c r="F11" i="16" a="1"/>
  <c r="F11" i="16"/>
  <c r="H5" i="16"/>
  <c r="G3" i="15" a="1"/>
  <c r="G3" i="15"/>
  <c r="E3" i="15" a="1"/>
  <c r="E3" i="15"/>
  <c r="I4" i="10" a="1"/>
  <c r="I4" i="10" s="1"/>
  <c r="G7" i="10" l="1"/>
  <c r="G6" i="10"/>
  <c r="G5" i="10"/>
  <c r="J4" i="20"/>
  <c r="K5" i="19"/>
  <c r="K4" i="19"/>
  <c r="K3" i="19"/>
  <c r="K2" i="19"/>
  <c r="H3" i="15"/>
  <c r="H5" i="15"/>
  <c r="H2" i="19"/>
  <c r="H8" i="16"/>
  <c r="H6" i="16"/>
  <c r="H7" i="16"/>
  <c r="J6" i="20" l="1"/>
  <c r="J5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<sst xmlns="http://schemas.openxmlformats.org/spreadsheetml/2006/main" count="224" uniqueCount="52">
  <si>
    <t>Semana Excel Imparable</t>
  </si>
  <si>
    <t>Registrate en la Semana Excel Imparable, 4 clases en vivo y gratis para salir de cero en Excel.</t>
  </si>
  <si>
    <t>Estudiante</t>
  </si>
  <si>
    <t>Materia</t>
  </si>
  <si>
    <t>Puntaje</t>
  </si>
  <si>
    <t>Bono</t>
  </si>
  <si>
    <t>Contar</t>
  </si>
  <si>
    <t>Ana Mendoza</t>
  </si>
  <si>
    <t>Matemáticas</t>
  </si>
  <si>
    <t>Carlos Santamaría</t>
  </si>
  <si>
    <t>Luis Jiménez</t>
  </si>
  <si>
    <t>Inglés</t>
  </si>
  <si>
    <t>Marta Vásquez</t>
  </si>
  <si>
    <t>Español</t>
  </si>
  <si>
    <t>Juan Castillo</t>
  </si>
  <si>
    <t>Biología</t>
  </si>
  <si>
    <t>María López</t>
  </si>
  <si>
    <t>Pedro Gutiérrez</t>
  </si>
  <si>
    <t>Laura Rodríguez</t>
  </si>
  <si>
    <t>David Hernández</t>
  </si>
  <si>
    <t>Ciencias</t>
  </si>
  <si>
    <t>Teresa Ramírez</t>
  </si>
  <si>
    <t>Francés</t>
  </si>
  <si>
    <t>Pierre Masly</t>
  </si>
  <si>
    <t>Historia</t>
  </si>
  <si>
    <t>Kevin Fergussen</t>
  </si>
  <si>
    <t>Tecnología</t>
  </si>
  <si>
    <t>Sebastian Mettel</t>
  </si>
  <si>
    <t>Alex Malbon</t>
  </si>
  <si>
    <t>Oscar Miastri</t>
  </si>
  <si>
    <t>bono</t>
  </si>
  <si>
    <t>contar</t>
  </si>
  <si>
    <t>informacion por materia</t>
  </si>
  <si>
    <t>Promedio</t>
  </si>
  <si>
    <t xml:space="preserve">Min </t>
  </si>
  <si>
    <t>Max</t>
  </si>
  <si>
    <t>Conteo estudiante</t>
  </si>
  <si>
    <t>Nombre por materia</t>
  </si>
  <si>
    <t>Información Materia</t>
  </si>
  <si>
    <t>Materia:</t>
  </si>
  <si>
    <t>Promedio:</t>
  </si>
  <si>
    <t>Min Puntaje:</t>
  </si>
  <si>
    <t>Max Puntaje:</t>
  </si>
  <si>
    <t>Conteo Estudiantes:</t>
  </si>
  <si>
    <t>Nombre</t>
  </si>
  <si>
    <t>Class Data</t>
  </si>
  <si>
    <t>Materias</t>
  </si>
  <si>
    <t>CONTAR</t>
  </si>
  <si>
    <t>promedio</t>
  </si>
  <si>
    <t>min puntaje</t>
  </si>
  <si>
    <t>max puntaje</t>
  </si>
  <si>
    <t>conteo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</si>
</sst>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3" applyFont="1"/>
    <xf numFmtId="0" fontId="4" fillId="0" borderId="0" xfId="3" applyFont="1" applyAlignment="1">
      <alignment horizontal="center"/>
    </xf>
    <xf numFmtId="0" fontId="5" fillId="2" borderId="0" xfId="3" applyFont="1" applyFill="1" applyAlignment="1">
      <alignment horizontal="center" vertical="center"/>
    </xf>
    <xf numFmtId="0" fontId="4" fillId="0" borderId="0" xfId="3" applyFont="1" applyAlignment="1">
      <alignment horizontal="right"/>
    </xf>
    <xf numFmtId="0" fontId="4" fillId="0" borderId="1" xfId="3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0" fontId="0" fillId="0" borderId="0" xfId="3" applyFont="1"/>
    <xf numFmtId="0" fontId="0" fillId="0" borderId="0" xfId="3" applyFont="1" applyAlignment="1">
      <alignment horizontal="center"/>
    </xf>
    <xf numFmtId="0" fontId="5" fillId="3" borderId="0" xfId="3" applyFont="1" applyFill="1" applyAlignment="1">
      <alignment horizontal="center" vertical="center"/>
    </xf>
    <xf numFmtId="0" fontId="5" fillId="3" borderId="2" xfId="3" applyFont="1" applyFill="1" applyBorder="1"/>
    <xf numFmtId="0" fontId="6" fillId="3" borderId="2" xfId="3" applyFont="1" applyFill="1" applyBorder="1"/>
    <xf numFmtId="0" fontId="5" fillId="2" borderId="3" xfId="3" applyFont="1" applyFill="1" applyBorder="1" applyAlignment="1">
      <alignment horizontal="center" vertical="center"/>
    </xf>
    <xf numFmtId="0" fontId="6" fillId="0" borderId="0" xfId="3" applyFont="1"/>
    <xf numFmtId="0" fontId="4" fillId="0" borderId="0" xfId="4"/>
    <xf numFmtId="0" fontId="7" fillId="0" borderId="0" xfId="4" quotePrefix="1" applyFont="1"/>
    <xf numFmtId="0" fontId="8" fillId="0" borderId="0" xfId="4" applyFont="1"/>
    <xf numFmtId="0" fontId="9" fillId="0" borderId="0" xfId="5" applyFill="1" applyBorder="1"/>
    <xf numFmtId="0" fontId="4" fillId="0" borderId="0" xfId="4" applyAlignment="1">
      <alignment wrapText="1"/>
    </xf>
    <xf numFmtId="0" fontId="10" fillId="0" borderId="0" xfId="6" applyFill="1" applyBorder="1"/>
    <xf numFmtId="0" fontId="4" fillId="4" borderId="0" xfId="4" applyFill="1"/>
    <xf numFmtId="0" fontId="4" fillId="5" borderId="0" xfId="4" applyFill="1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7">
    <cellStyle name="Hyperlink 2" xfId="2" xr:uid="{FC04D64C-0BC3-7A41-A083-EB09B8EADADA}"/>
    <cellStyle name="Hyperlink 2 2" xfId="5" xr:uid="{F62093AF-4586-474F-9563-057B21DFD9EE}"/>
    <cellStyle name="Hyperlink 3" xfId="6" xr:uid="{B0295ECE-F2A0-4431-9410-11245929122D}"/>
    <cellStyle name="Normal" xfId="0" builtinId="0"/>
    <cellStyle name="Normal 2" xfId="1" xr:uid="{E3A185E7-DC67-E64A-A9B3-9756C46052D1}"/>
    <cellStyle name="Normal 2 2" xfId="4" xr:uid="{82298188-FE23-46C3-BD91-85A80303782F}"/>
    <cellStyle name="Normal 3" xfId="3" xr:uid="{25E355A7-1F53-7C4A-AE75-9B643CACB15C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hazloconexcel.com/bootcamp-imparable-en-excel/?utm_source=ytvideo&amp;utm_medium=plantillaidentificaduplicados&amp;utm_campaign=plantillafilasenblanco&amp;utm_id=ytvideo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295373</xdr:rowOff>
    </xdr:from>
    <xdr:to>
      <xdr:col>4</xdr:col>
      <xdr:colOff>388620</xdr:colOff>
      <xdr:row>15</xdr:row>
      <xdr:rowOff>85725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582DDB9A-7658-47EC-9380-AF83909C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0" y="1524098"/>
          <a:ext cx="5941695" cy="2876452"/>
        </a:xfrm>
        <a:prstGeom prst="rect">
          <a:avLst/>
        </a:prstGeom>
      </xdr:spPr>
    </xdr:pic>
    <xdr:clientData/>
  </xdr:twoCellAnchor>
  <xdr:oneCellAnchor>
    <xdr:from>
      <xdr:col>1</xdr:col>
      <xdr:colOff>95250</xdr:colOff>
      <xdr:row>4</xdr:row>
      <xdr:rowOff>28575</xdr:rowOff>
    </xdr:from>
    <xdr:ext cx="2958887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6B5D8A-2863-4474-A7AF-F33D11DCF6C3}"/>
            </a:ext>
          </a:extLst>
        </xdr:cNvPr>
        <xdr:cNvSpPr txBox="1"/>
      </xdr:nvSpPr>
      <xdr:spPr>
        <a:xfrm>
          <a:off x="190500" y="885825"/>
          <a:ext cx="2958887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Aprende Más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4</xdr:row>
      <xdr:rowOff>276225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B6304F5-74C3-4D6B-AA55-C6ACD6735087}"/>
            </a:ext>
          </a:extLst>
        </xdr:cNvPr>
        <xdr:cNvSpPr/>
      </xdr:nvSpPr>
      <xdr:spPr>
        <a:xfrm>
          <a:off x="6985636" y="1133475"/>
          <a:ext cx="3117668" cy="1604283"/>
        </a:xfrm>
        <a:prstGeom prst="round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b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s-MX" sz="1200"/>
            <a:t>"Este curso me ha permitido terminar trabajos en un 5-10% del tiempo gracias a mi capacidad para usar Excel. </a:t>
          </a:r>
          <a:br>
            <a:rPr lang="es-MX" sz="1200"/>
          </a:br>
          <a:r>
            <a:rPr lang="es-MX" sz="1200"/>
            <a:t>También me ha dado la confianza para ser mucho más ágil</a:t>
          </a:r>
          <a:r>
            <a:rPr lang="es-MX" sz="1200" baseline="0"/>
            <a:t> </a:t>
          </a:r>
          <a:r>
            <a:rPr lang="es-MX" sz="1200"/>
            <a:t>en Excel."</a:t>
          </a:r>
          <a:br>
            <a:rPr lang="es-MX" sz="1200"/>
          </a:br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Silvia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Hernández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C4D051E-5E87-44B2-80F1-E8E7AC48B2EE}"/>
            </a:ext>
          </a:extLst>
        </xdr:cNvPr>
        <xdr:cNvSpPr/>
      </xdr:nvSpPr>
      <xdr:spPr>
        <a:xfrm>
          <a:off x="5400675" y="2899682"/>
          <a:ext cx="4735286" cy="2230211"/>
        </a:xfrm>
        <a:prstGeom prst="round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MX" sz="1200"/>
            <a:t>"Uso Excel frecuentemente en el trabajo como arquitecto de negocios. Casi</a:t>
          </a:r>
          <a:r>
            <a:rPr lang="es-MX" sz="1200" baseline="0"/>
            <a:t> siempre </a:t>
          </a:r>
          <a:r>
            <a:rPr lang="es-MX" sz="1200"/>
            <a:t>conseguía lo que quería en</a:t>
          </a:r>
          <a:r>
            <a:rPr lang="es-MX" sz="1200" baseline="0"/>
            <a:t> Excel</a:t>
          </a:r>
          <a:r>
            <a:rPr lang="es-MX" sz="1200"/>
            <a:t>, pero en muchas veces no utilizaba el método más rápido. Por eso, me inscribí a Triunfa En Excel. Hubo muchos momentos de aja!</a:t>
          </a:r>
          <a:r>
            <a:rPr lang="es-MX" sz="1200" baseline="0"/>
            <a:t> y ahora </a:t>
          </a:r>
          <a:r>
            <a:rPr lang="es-MX" sz="1200"/>
            <a:t>puedo usar Power Query y construir dashboards impactantes con Excel, y apenas voy a mitad</a:t>
          </a:r>
          <a:r>
            <a:rPr lang="es-MX" sz="1200" baseline="0"/>
            <a:t> de camino en el curso</a:t>
          </a:r>
          <a:r>
            <a:rPr lang="es-MX" sz="1200"/>
            <a:t>!</a:t>
          </a:r>
          <a:br>
            <a:rPr lang="es-MX" sz="1200"/>
          </a:br>
          <a:r>
            <a:rPr lang="es-MX" sz="1200"/>
            <a:t>Estoy muy emocionado por lo que viene!"</a:t>
          </a:r>
          <a:br>
            <a:rPr lang="es-MX" sz="1200"/>
          </a:br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Cristian Sánchez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171611</xdr:rowOff>
    </xdr:to>
    <xdr:pic>
      <xdr:nvPicPr>
        <xdr:cNvPr id="6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9E7988E7-4960-466D-8609-7BB6CFC5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8382942" y="4438650"/>
          <a:ext cx="1921987" cy="743111"/>
        </a:xfrm>
        <a:prstGeom prst="rect">
          <a:avLst/>
        </a:prstGeom>
      </xdr:spPr>
    </xdr:pic>
    <xdr:clientData/>
  </xdr:twoCellAnchor>
  <xdr:twoCellAnchor>
    <xdr:from>
      <xdr:col>1</xdr:col>
      <xdr:colOff>99061</xdr:colOff>
      <xdr:row>11</xdr:row>
      <xdr:rowOff>232410</xdr:rowOff>
    </xdr:from>
    <xdr:to>
      <xdr:col>2</xdr:col>
      <xdr:colOff>1714501</xdr:colOff>
      <xdr:row>12</xdr:row>
      <xdr:rowOff>354330</xdr:rowOff>
    </xdr:to>
    <xdr:sp macro="" textlink="">
      <xdr:nvSpPr>
        <xdr:cNvPr id="7" name="Flowchart: Terminator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AF23A5-B610-489F-A1E8-324347E3F4B9}"/>
            </a:ext>
          </a:extLst>
        </xdr:cNvPr>
        <xdr:cNvSpPr/>
      </xdr:nvSpPr>
      <xdr:spPr>
        <a:xfrm>
          <a:off x="194311" y="3128010"/>
          <a:ext cx="1824990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Regístrate Aquí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86C57729-AF75-4478-B7FE-6028CE2EA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1002" y="1332896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3EFB93B7-65EC-48D7-B0CA-10B114C1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53223" y="300554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381001</xdr:colOff>
      <xdr:row>0</xdr:row>
      <xdr:rowOff>95250</xdr:rowOff>
    </xdr:from>
    <xdr:to>
      <xdr:col>12</xdr:col>
      <xdr:colOff>61251</xdr:colOff>
      <xdr:row>4</xdr:row>
      <xdr:rowOff>238125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5E7F8BF-A271-4790-A252-695793FF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6" y="95250"/>
          <a:ext cx="1051850" cy="1000125"/>
        </a:xfrm>
        <a:prstGeom prst="rect">
          <a:avLst/>
        </a:prstGeom>
      </xdr:spPr>
    </xdr:pic>
    <xdr:clientData/>
  </xdr:twoCellAnchor>
  <xdr:twoCellAnchor editAs="oneCell">
    <xdr:from>
      <xdr:col>2</xdr:col>
      <xdr:colOff>2876551</xdr:colOff>
      <xdr:row>3</xdr:row>
      <xdr:rowOff>257175</xdr:rowOff>
    </xdr:from>
    <xdr:to>
      <xdr:col>2</xdr:col>
      <xdr:colOff>4561187</xdr:colOff>
      <xdr:row>6</xdr:row>
      <xdr:rowOff>314325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8B4674A-1557-441A-97DB-18EA82F8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828675"/>
          <a:ext cx="1684636" cy="714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C543D4-4017-3041-9D22-3D7D3B624A94}" name="Table35" displayName="Table35" ref="B2:D18" totalsRowShown="0" headerRowDxfId="4" dataDxfId="3" headerRowCellStyle="Normal 3">
  <autoFilter ref="B2:D18" xr:uid="{A15DB3A1-F922-D24A-B665-4DA4C86E0388}">
    <filterColumn colId="0" hiddenButton="1"/>
    <filterColumn colId="1" hiddenButton="1"/>
    <filterColumn colId="2" hiddenButton="1"/>
  </autoFilter>
  <tableColumns count="3">
    <tableColumn id="1" xr3:uid="{4A013DB7-5AA2-624B-A7EF-9F24E7FA3B48}" name="Estudiante" dataDxfId="2" dataCellStyle="Normal 3"/>
    <tableColumn id="2" xr3:uid="{2817C4E2-69FE-FA4C-B4F1-64A45EDB326A}" name="Materia" dataDxfId="1" dataCellStyle="Normal 3"/>
    <tableColumn id="3" xr3:uid="{EDCD243D-09C4-1443-9E56-3BEC8EC93C6C}" name="Puntaje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5AF91C-B82E-44D0-A210-E43F6AB1823A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3_0sukPBl1liB6qM34II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6038-B576-43FF-8A4F-B38A6D5811F0}">
  <sheetPr>
    <tabColor rgb="FFEC4C4C"/>
    <pageSetUpPr fitToPage="1"/>
  </sheetPr>
  <dimension ref="A1:N24"/>
  <sheetViews>
    <sheetView showGridLines="0" zoomScaleNormal="100" workbookViewId="0">
      <selection activeCell="A4" sqref="A4"/>
    </sheetView>
  </sheetViews>
  <sheetFormatPr defaultColWidth="0" defaultRowHeight="14.25" customHeight="1" zeroHeight="1"/>
  <cols>
    <col min="1" max="1" width="1.42578125" style="20" customWidth="1"/>
    <col min="2" max="2" width="3.140625" style="20" customWidth="1"/>
    <col min="3" max="3" width="69.5703125" style="20" customWidth="1"/>
    <col min="4" max="6" width="9.140625" style="20" customWidth="1"/>
    <col min="7" max="11" width="9.140625" style="21" customWidth="1"/>
    <col min="12" max="12" width="2.28515625" style="21" customWidth="1"/>
    <col min="13" max="13" width="2.5703125" style="21" customWidth="1"/>
    <col min="14" max="14" width="2.42578125" style="21" customWidth="1"/>
    <col min="15" max="16384" width="9.140625" style="20" hidden="1"/>
  </cols>
  <sheetData>
    <row r="1" spans="2:6" s="14" customFormat="1" ht="15"/>
    <row r="2" spans="2:6" s="14" customFormat="1" ht="15"/>
    <row r="3" spans="2:6" s="14" customFormat="1" ht="15"/>
    <row r="4" spans="2:6" s="14" customFormat="1" ht="22.5" customHeight="1"/>
    <row r="5" spans="2:6" s="14" customFormat="1" ht="22.5">
      <c r="B5" s="15"/>
      <c r="C5" s="16"/>
    </row>
    <row r="6" spans="2:6" s="14" customFormat="1" ht="7.35" customHeight="1">
      <c r="C6" s="17"/>
      <c r="D6" s="17"/>
      <c r="E6" s="17"/>
    </row>
    <row r="7" spans="2:6" s="14" customFormat="1" ht="33.6" customHeight="1">
      <c r="C7" s="18"/>
    </row>
    <row r="8" spans="2:6" s="14" customFormat="1" ht="30" customHeight="1">
      <c r="C8" s="16" t="s">
        <v>0</v>
      </c>
    </row>
    <row r="9" spans="2:6" s="14" customFormat="1" ht="41.65" customHeight="1">
      <c r="C9" s="18" t="s">
        <v>1</v>
      </c>
    </row>
    <row r="10" spans="2:6" s="14" customFormat="1" ht="21" customHeight="1">
      <c r="C10" s="16"/>
    </row>
    <row r="11" spans="2:6" s="14" customFormat="1" ht="6" customHeight="1">
      <c r="C11" s="19"/>
      <c r="D11" s="17"/>
      <c r="E11" s="17"/>
      <c r="F11" s="17"/>
    </row>
    <row r="12" spans="2:6" s="14" customFormat="1" ht="30" customHeight="1">
      <c r="C12" s="18"/>
    </row>
    <row r="13" spans="2:6" s="14" customFormat="1" ht="39.75" customHeight="1"/>
    <row r="14" spans="2:6" s="14" customFormat="1" ht="17.25" customHeight="1">
      <c r="C14" s="19"/>
      <c r="E14" s="17"/>
      <c r="F14" s="17"/>
    </row>
    <row r="15" spans="2:6" s="14" customFormat="1" ht="24.75" customHeight="1">
      <c r="C15" s="16"/>
    </row>
    <row r="16" spans="2:6" s="14" customFormat="1" ht="10.15" customHeight="1"/>
    <row r="17" spans="1:14" s="14" customFormat="1" ht="15">
      <c r="C17" s="18"/>
    </row>
    <row r="18" spans="1:14" s="14" customFormat="1" ht="15"/>
    <row r="19" spans="1:14" s="14" customFormat="1" ht="15"/>
    <row r="20" spans="1:14" s="14" customFormat="1" ht="15">
      <c r="C20" s="19"/>
      <c r="D20" s="17"/>
      <c r="E20" s="17"/>
      <c r="F20" s="17"/>
    </row>
    <row r="21" spans="1:14" s="14" customFormat="1" ht="1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s="14" customFormat="1" ht="1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s="14" customFormat="1" ht="1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5">
      <c r="G24" s="20"/>
      <c r="H24" s="20"/>
      <c r="I24" s="20"/>
      <c r="J24" s="20"/>
      <c r="K24" s="20"/>
      <c r="L24" s="20"/>
      <c r="M24" s="20"/>
      <c r="N24" s="20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E2C-A227-E947-B597-FA2958387B21}">
  <dimension ref="B2:J18"/>
  <sheetViews>
    <sheetView zoomScale="160" zoomScaleNormal="160" workbookViewId="0">
      <selection activeCell="N18" sqref="N18"/>
    </sheetView>
  </sheetViews>
  <sheetFormatPr defaultColWidth="10.85546875" defaultRowHeight="15"/>
  <cols>
    <col min="1" max="1" width="3" style="1" customWidth="1"/>
    <col min="2" max="2" width="16.140625" style="1" bestFit="1" customWidth="1"/>
    <col min="3" max="3" width="12.28515625" style="1" bestFit="1" customWidth="1"/>
    <col min="4" max="4" width="8.140625" style="1" customWidth="1"/>
    <col min="5" max="5" width="7.42578125" style="1" customWidth="1"/>
    <col min="6" max="6" width="5" style="1" customWidth="1"/>
    <col min="7" max="7" width="12.28515625" style="1" bestFit="1" customWidth="1"/>
    <col min="8" max="16384" width="10.85546875" style="1"/>
  </cols>
  <sheetData>
    <row r="2" spans="2:10">
      <c r="B2" s="3" t="s">
        <v>2</v>
      </c>
      <c r="C2" s="3" t="s">
        <v>3</v>
      </c>
      <c r="D2" s="12" t="s">
        <v>4</v>
      </c>
      <c r="E2" s="3" t="s">
        <v>5</v>
      </c>
      <c r="G2" s="3" t="s">
        <v>3</v>
      </c>
      <c r="H2" s="1" t="s">
        <v>6</v>
      </c>
    </row>
    <row r="3" spans="2:10">
      <c r="B3" s="1" t="s">
        <v>7</v>
      </c>
      <c r="C3" s="2" t="s">
        <v>8</v>
      </c>
      <c r="D3" s="2">
        <v>81</v>
      </c>
      <c r="E3" s="2" cm="1">
        <f t="array" ref="E3:E18">D3:D18+10</f>
        <v>91</v>
      </c>
      <c r="G3" s="1" t="str" cm="1">
        <f t="array" ref="G3:G10">_xlfn.UNIQUE(C3:C18)</f>
        <v>Matemáticas</v>
      </c>
      <c r="H3" s="1">
        <f>COUNTA(_xlfn.ANCHORARRAY(G3))</f>
        <v>8</v>
      </c>
      <c r="I3" s="1" t="str" cm="1">
        <f t="array" ref="I3:I10">_xlfn.UNIQUE(C3:C18)</f>
        <v>Matemáticas</v>
      </c>
      <c r="J3" s="2"/>
    </row>
    <row r="4" spans="2:10">
      <c r="B4" s="1" t="s">
        <v>9</v>
      </c>
      <c r="C4" s="2" t="s">
        <v>8</v>
      </c>
      <c r="D4" s="2">
        <v>54</v>
      </c>
      <c r="E4" s="2">
        <v>64</v>
      </c>
      <c r="G4" s="1" t="str">
        <v>Inglés</v>
      </c>
      <c r="I4" s="1" t="str">
        <v>Inglés</v>
      </c>
      <c r="J4" s="2"/>
    </row>
    <row r="5" spans="2:10">
      <c r="B5" s="1" t="s">
        <v>10</v>
      </c>
      <c r="C5" s="2" t="s">
        <v>11</v>
      </c>
      <c r="D5" s="2">
        <v>81</v>
      </c>
      <c r="E5" s="2">
        <v>91</v>
      </c>
      <c r="G5" s="1" t="str">
        <v>Español</v>
      </c>
      <c r="H5" s="1">
        <f>COUNTA(G3:G9)</f>
        <v>7</v>
      </c>
      <c r="I5" s="1" t="str">
        <v>Español</v>
      </c>
      <c r="J5" s="2"/>
    </row>
    <row r="6" spans="2:10">
      <c r="B6" s="1" t="s">
        <v>12</v>
      </c>
      <c r="C6" s="2" t="s">
        <v>13</v>
      </c>
      <c r="D6" s="2">
        <v>82</v>
      </c>
      <c r="E6" s="2">
        <v>92</v>
      </c>
      <c r="G6" s="1" t="str">
        <v>Biología</v>
      </c>
      <c r="I6" s="1" t="str">
        <v>Biología</v>
      </c>
      <c r="J6" s="2"/>
    </row>
    <row r="7" spans="2:10">
      <c r="B7" s="1" t="s">
        <v>14</v>
      </c>
      <c r="C7" s="2" t="s">
        <v>15</v>
      </c>
      <c r="D7" s="2">
        <v>94</v>
      </c>
      <c r="E7" s="2">
        <v>104</v>
      </c>
      <c r="G7" s="1" t="str">
        <v>Ciencias</v>
      </c>
      <c r="I7" s="1" t="str">
        <v>Ciencias</v>
      </c>
      <c r="J7" s="2"/>
    </row>
    <row r="8" spans="2:10">
      <c r="B8" s="1" t="s">
        <v>16</v>
      </c>
      <c r="C8" s="2" t="s">
        <v>8</v>
      </c>
      <c r="D8" s="2">
        <v>52</v>
      </c>
      <c r="E8" s="2">
        <v>62</v>
      </c>
      <c r="G8" s="1" t="str">
        <v>Francés</v>
      </c>
      <c r="I8" s="1" t="str">
        <v>Francés</v>
      </c>
      <c r="J8" s="2"/>
    </row>
    <row r="9" spans="2:10">
      <c r="B9" s="1" t="s">
        <v>17</v>
      </c>
      <c r="C9" s="2" t="s">
        <v>8</v>
      </c>
      <c r="D9" s="2">
        <v>98</v>
      </c>
      <c r="E9" s="2">
        <v>108</v>
      </c>
      <c r="G9" s="1" t="str">
        <v>Historia</v>
      </c>
      <c r="I9" s="1" t="str">
        <v>Historia</v>
      </c>
      <c r="J9" s="2"/>
    </row>
    <row r="10" spans="2:10">
      <c r="B10" s="1" t="s">
        <v>18</v>
      </c>
      <c r="C10" s="2" t="s">
        <v>11</v>
      </c>
      <c r="D10" s="2">
        <v>55</v>
      </c>
      <c r="E10" s="2">
        <v>65</v>
      </c>
      <c r="G10" s="1" t="str">
        <v>Tecnología</v>
      </c>
      <c r="I10" s="1" t="str">
        <v>Tecnología</v>
      </c>
      <c r="J10" s="2"/>
    </row>
    <row r="11" spans="2:10">
      <c r="B11" s="1" t="s">
        <v>19</v>
      </c>
      <c r="C11" s="2" t="s">
        <v>20</v>
      </c>
      <c r="D11" s="2">
        <v>75</v>
      </c>
      <c r="E11" s="2">
        <v>85</v>
      </c>
      <c r="J11" s="2"/>
    </row>
    <row r="12" spans="2:10">
      <c r="B12" s="1" t="s">
        <v>21</v>
      </c>
      <c r="C12" s="2" t="s">
        <v>22</v>
      </c>
      <c r="D12" s="2">
        <v>99</v>
      </c>
      <c r="E12" s="2">
        <v>109</v>
      </c>
      <c r="J12" s="2"/>
    </row>
    <row r="13" spans="2:10">
      <c r="B13" s="1" t="s">
        <v>23</v>
      </c>
      <c r="C13" s="2" t="s">
        <v>24</v>
      </c>
      <c r="D13" s="2">
        <v>84</v>
      </c>
      <c r="E13" s="2">
        <v>94</v>
      </c>
      <c r="J13" s="2"/>
    </row>
    <row r="14" spans="2:10">
      <c r="B14" s="1" t="s">
        <v>25</v>
      </c>
      <c r="C14" s="2" t="s">
        <v>26</v>
      </c>
      <c r="D14" s="2">
        <v>60</v>
      </c>
      <c r="E14" s="2">
        <v>70</v>
      </c>
      <c r="J14" s="2"/>
    </row>
    <row r="15" spans="2:10">
      <c r="B15" s="1" t="s">
        <v>27</v>
      </c>
      <c r="C15" s="2" t="s">
        <v>15</v>
      </c>
      <c r="D15" s="2">
        <v>72</v>
      </c>
      <c r="E15" s="2">
        <v>82</v>
      </c>
      <c r="J15" s="2"/>
    </row>
    <row r="16" spans="2:10">
      <c r="B16" s="1" t="s">
        <v>28</v>
      </c>
      <c r="C16" s="2" t="s">
        <v>11</v>
      </c>
      <c r="D16" s="2">
        <v>100</v>
      </c>
      <c r="E16" s="2">
        <v>110</v>
      </c>
      <c r="J16" s="2"/>
    </row>
    <row r="17" spans="2:10">
      <c r="B17" s="1" t="s">
        <v>25</v>
      </c>
      <c r="C17" s="2" t="s">
        <v>15</v>
      </c>
      <c r="D17" s="2">
        <v>63</v>
      </c>
      <c r="E17" s="2">
        <v>73</v>
      </c>
      <c r="J17" s="2"/>
    </row>
    <row r="18" spans="2:10">
      <c r="B18" s="1" t="s">
        <v>29</v>
      </c>
      <c r="C18" s="2" t="s">
        <v>11</v>
      </c>
      <c r="D18" s="2">
        <v>74</v>
      </c>
      <c r="E18" s="2">
        <v>84</v>
      </c>
      <c r="J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90A8-1ADD-4312-A33F-438918DF6E8D}">
  <dimension ref="A1:O17"/>
  <sheetViews>
    <sheetView tabSelected="1" workbookViewId="0">
      <selection activeCell="I12" sqref="I12"/>
    </sheetView>
  </sheetViews>
  <sheetFormatPr defaultRowHeight="15"/>
  <cols>
    <col min="1" max="1" width="14.140625" customWidth="1"/>
    <col min="2" max="2" width="18.7109375" customWidth="1"/>
    <col min="6" max="6" width="19.42578125" customWidth="1"/>
    <col min="9" max="9" width="13.85546875" customWidth="1"/>
  </cols>
  <sheetData>
    <row r="1" spans="1:15">
      <c r="A1" s="3" t="s">
        <v>2</v>
      </c>
      <c r="B1" s="3" t="s">
        <v>3</v>
      </c>
      <c r="C1" s="12" t="s">
        <v>4</v>
      </c>
      <c r="D1" s="12" t="s">
        <v>30</v>
      </c>
      <c r="F1" s="12" t="s">
        <v>3</v>
      </c>
      <c r="G1" s="12" t="s">
        <v>31</v>
      </c>
      <c r="I1" s="25" t="s">
        <v>32</v>
      </c>
      <c r="J1" s="26"/>
      <c r="K1" s="26"/>
      <c r="L1" s="26"/>
      <c r="M1" s="27"/>
    </row>
    <row r="2" spans="1:15">
      <c r="A2" s="1" t="s">
        <v>7</v>
      </c>
      <c r="B2" s="2" t="s">
        <v>8</v>
      </c>
      <c r="C2" s="2">
        <v>81</v>
      </c>
      <c r="D2" cm="1">
        <f t="array" ref="D2:D17">C2:C17+10</f>
        <v>91</v>
      </c>
      <c r="F2" t="str" cm="1">
        <f t="array" ref="F2:F9">_xlfn.UNIQUE(B2:B17)</f>
        <v>Matemáticas</v>
      </c>
      <c r="G2">
        <f>COUNTA(_xlfn.ANCHORARRAY(F2))</f>
        <v>8</v>
      </c>
    </row>
    <row r="3" spans="1:15">
      <c r="A3" s="1" t="s">
        <v>9</v>
      </c>
      <c r="B3" s="2" t="s">
        <v>8</v>
      </c>
      <c r="C3" s="2">
        <v>54</v>
      </c>
      <c r="D3">
        <v>64</v>
      </c>
      <c r="F3" t="str">
        <v>Inglés</v>
      </c>
      <c r="I3" t="s">
        <v>3</v>
      </c>
      <c r="J3" t="s">
        <v>13</v>
      </c>
      <c r="O3" t="str" cm="1">
        <f t="array" ref="O3:O10">_xlfn.UNIQUE(_xlfn.ANCHORARRAY(F2))</f>
        <v>Matemáticas</v>
      </c>
    </row>
    <row r="4" spans="1:15">
      <c r="A4" s="1" t="s">
        <v>10</v>
      </c>
      <c r="B4" s="2" t="s">
        <v>11</v>
      </c>
      <c r="C4" s="2">
        <v>81</v>
      </c>
      <c r="D4">
        <v>91</v>
      </c>
      <c r="F4" t="str">
        <v>Español</v>
      </c>
      <c r="I4" t="s">
        <v>33</v>
      </c>
      <c r="J4" s="22">
        <f>AVERAGE(K12:K15)</f>
        <v>82</v>
      </c>
      <c r="O4" t="str">
        <v>Inglés</v>
      </c>
    </row>
    <row r="5" spans="1:15">
      <c r="A5" s="1" t="s">
        <v>12</v>
      </c>
      <c r="B5" s="2" t="s">
        <v>13</v>
      </c>
      <c r="C5" s="2">
        <v>82</v>
      </c>
      <c r="D5">
        <v>92</v>
      </c>
      <c r="F5" t="str">
        <v>Biología</v>
      </c>
      <c r="I5" t="s">
        <v>34</v>
      </c>
      <c r="J5">
        <f>MIN(_xlfn.ANCHORARRAY(I12))</f>
        <v>82</v>
      </c>
      <c r="O5" t="str">
        <v>Español</v>
      </c>
    </row>
    <row r="6" spans="1:15">
      <c r="A6" s="1" t="s">
        <v>14</v>
      </c>
      <c r="B6" s="2" t="s">
        <v>15</v>
      </c>
      <c r="C6" s="2">
        <v>94</v>
      </c>
      <c r="D6">
        <v>104</v>
      </c>
      <c r="F6" t="str">
        <v>Ciencias</v>
      </c>
      <c r="I6" t="s">
        <v>35</v>
      </c>
      <c r="J6">
        <f>MAX(_xlfn.ANCHORARRAY(I12))</f>
        <v>82</v>
      </c>
      <c r="O6" t="str">
        <v>Biología</v>
      </c>
    </row>
    <row r="7" spans="1:15">
      <c r="A7" s="1" t="s">
        <v>16</v>
      </c>
      <c r="B7" s="2" t="s">
        <v>8</v>
      </c>
      <c r="C7" s="2">
        <v>52</v>
      </c>
      <c r="D7">
        <v>62</v>
      </c>
      <c r="F7" t="str">
        <v>Francés</v>
      </c>
      <c r="I7" t="s">
        <v>36</v>
      </c>
      <c r="J7">
        <f>COUNTA(INDEX(_xlfn.ANCHORARRAY(I12),,1))</f>
        <v>1</v>
      </c>
      <c r="O7" t="str">
        <v>Ciencias</v>
      </c>
    </row>
    <row r="8" spans="1:15">
      <c r="A8" s="1" t="s">
        <v>17</v>
      </c>
      <c r="B8" s="2" t="s">
        <v>8</v>
      </c>
      <c r="C8" s="2">
        <v>98</v>
      </c>
      <c r="D8">
        <v>108</v>
      </c>
      <c r="F8" t="str">
        <v>Historia</v>
      </c>
      <c r="O8" t="str">
        <v>Francés</v>
      </c>
    </row>
    <row r="9" spans="1:15">
      <c r="A9" s="1" t="s">
        <v>18</v>
      </c>
      <c r="B9" s="2" t="s">
        <v>11</v>
      </c>
      <c r="C9" s="2">
        <v>55</v>
      </c>
      <c r="D9">
        <v>65</v>
      </c>
      <c r="F9" t="str">
        <v>Tecnología</v>
      </c>
      <c r="O9" t="str">
        <v>Historia</v>
      </c>
    </row>
    <row r="10" spans="1:15">
      <c r="A10" s="1" t="s">
        <v>19</v>
      </c>
      <c r="B10" s="2" t="s">
        <v>20</v>
      </c>
      <c r="C10" s="2">
        <v>75</v>
      </c>
      <c r="D10">
        <v>85</v>
      </c>
      <c r="I10" s="25" t="s">
        <v>37</v>
      </c>
      <c r="J10" s="26"/>
      <c r="K10" s="26"/>
      <c r="L10" s="26"/>
      <c r="M10" s="27"/>
      <c r="O10" t="str">
        <v>Tecnología</v>
      </c>
    </row>
    <row r="11" spans="1:15">
      <c r="A11" s="1" t="s">
        <v>21</v>
      </c>
      <c r="B11" s="2" t="s">
        <v>22</v>
      </c>
      <c r="C11" s="2">
        <v>99</v>
      </c>
      <c r="D11">
        <v>109</v>
      </c>
      <c r="I11" s="3" t="s">
        <v>2</v>
      </c>
      <c r="J11" s="3" t="s">
        <v>3</v>
      </c>
      <c r="K11" s="12" t="s">
        <v>4</v>
      </c>
      <c r="L11" s="23"/>
    </row>
    <row r="12" spans="1:15">
      <c r="A12" s="1" t="s">
        <v>23</v>
      </c>
      <c r="B12" s="2" t="s">
        <v>24</v>
      </c>
      <c r="C12" s="2">
        <v>84</v>
      </c>
      <c r="D12">
        <v>94</v>
      </c>
      <c r="I12" t="str" cm="1">
        <f t="array" ref="I12:K12">_xlfn._xlws.FILTER(A2:C17,B2:B17=J3)</f>
        <v>Marta Vásquez</v>
      </c>
      <c r="J12" t="str">
        <v>Español</v>
      </c>
      <c r="K12">
        <v>82</v>
      </c>
    </row>
    <row r="13" spans="1:15">
      <c r="A13" s="1" t="s">
        <v>25</v>
      </c>
      <c r="B13" s="2" t="s">
        <v>26</v>
      </c>
      <c r="C13" s="2">
        <v>60</v>
      </c>
      <c r="D13">
        <v>70</v>
      </c>
    </row>
    <row r="14" spans="1:15">
      <c r="A14" s="1" t="s">
        <v>27</v>
      </c>
      <c r="B14" s="2" t="s">
        <v>15</v>
      </c>
      <c r="C14" s="2">
        <v>72</v>
      </c>
      <c r="D14">
        <v>82</v>
      </c>
    </row>
    <row r="15" spans="1:15">
      <c r="A15" s="1" t="s">
        <v>28</v>
      </c>
      <c r="B15" s="2" t="s">
        <v>11</v>
      </c>
      <c r="C15" s="2">
        <v>100</v>
      </c>
      <c r="D15">
        <v>110</v>
      </c>
    </row>
    <row r="16" spans="1:15">
      <c r="A16" s="1" t="s">
        <v>25</v>
      </c>
      <c r="B16" s="2" t="s">
        <v>15</v>
      </c>
      <c r="C16" s="2">
        <v>63</v>
      </c>
      <c r="D16">
        <v>73</v>
      </c>
    </row>
    <row r="17" spans="1:4">
      <c r="A17" s="1" t="s">
        <v>29</v>
      </c>
      <c r="B17" s="2" t="s">
        <v>11</v>
      </c>
      <c r="C17" s="2">
        <v>74</v>
      </c>
      <c r="D17">
        <v>84</v>
      </c>
    </row>
  </sheetData>
  <mergeCells count="2">
    <mergeCell ref="I1:M1"/>
    <mergeCell ref="I10:M10"/>
  </mergeCells>
  <dataValidations count="1">
    <dataValidation type="list" allowBlank="1" showInputMessage="1" showErrorMessage="1" sqref="J3" xr:uid="{80FD1C43-1DC9-4D3D-86AA-84CF7F21C463}">
      <formula1>_xlfn.ANCHORARRAY($O$3)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6693-E07C-6B41-A625-FC35E0E91574}">
  <dimension ref="B2:M18"/>
  <sheetViews>
    <sheetView zoomScale="130" zoomScaleNormal="130" workbookViewId="0">
      <selection activeCell="G4" sqref="G4"/>
    </sheetView>
  </sheetViews>
  <sheetFormatPr defaultColWidth="10.85546875" defaultRowHeight="15"/>
  <cols>
    <col min="1" max="1" width="2.7109375" style="1" customWidth="1"/>
    <col min="2" max="2" width="16.7109375" style="1" bestFit="1" customWidth="1"/>
    <col min="3" max="3" width="10.85546875" style="1"/>
    <col min="4" max="4" width="7.7109375" style="1" customWidth="1"/>
    <col min="5" max="5" width="8.42578125" style="1" customWidth="1"/>
    <col min="6" max="6" width="18.85546875" style="1" bestFit="1" customWidth="1"/>
    <col min="7" max="7" width="12.28515625" style="1" bestFit="1" customWidth="1"/>
    <col min="8" max="9" width="10.85546875" style="1"/>
    <col min="10" max="10" width="20.42578125" style="1" customWidth="1"/>
    <col min="11" max="16384" width="10.85546875" style="1"/>
  </cols>
  <sheetData>
    <row r="2" spans="2:13">
      <c r="B2" s="3" t="s">
        <v>2</v>
      </c>
      <c r="C2" s="3" t="s">
        <v>3</v>
      </c>
      <c r="D2" s="12" t="s">
        <v>4</v>
      </c>
      <c r="F2" s="10" t="s">
        <v>38</v>
      </c>
      <c r="G2" s="11"/>
      <c r="H2" s="11"/>
    </row>
    <row r="3" spans="2:13">
      <c r="B3" s="7" t="s">
        <v>7</v>
      </c>
      <c r="C3" s="8" t="s">
        <v>8</v>
      </c>
      <c r="D3" s="8">
        <v>81</v>
      </c>
    </row>
    <row r="4" spans="2:13">
      <c r="B4" s="7" t="s">
        <v>9</v>
      </c>
      <c r="C4" s="8" t="s">
        <v>8</v>
      </c>
      <c r="D4" s="8">
        <v>54</v>
      </c>
      <c r="F4" s="4" t="s">
        <v>39</v>
      </c>
      <c r="G4" s="5" t="s">
        <v>11</v>
      </c>
      <c r="I4" s="13" t="str" cm="1">
        <f t="array" ref="I4:I10">_xlfn.UNIQUE(C3:C18)</f>
        <v>Matemáticas</v>
      </c>
      <c r="J4" s="13" t="str" cm="1">
        <f t="array" ref="J4:J10">_xlfn.UNIQUE(C3:C18)</f>
        <v>Matemáticas</v>
      </c>
      <c r="K4"/>
      <c r="L4"/>
      <c r="M4"/>
    </row>
    <row r="5" spans="2:13">
      <c r="B5" s="7" t="s">
        <v>10</v>
      </c>
      <c r="C5" s="8" t="s">
        <v>13</v>
      </c>
      <c r="D5" s="8">
        <v>81</v>
      </c>
      <c r="F5" s="4" t="s">
        <v>40</v>
      </c>
      <c r="G5" s="6">
        <f>AVERAGE(_xlfn.ANCHORARRAY(F11))</f>
        <v>76.333333333333329</v>
      </c>
      <c r="I5" s="13" t="str">
        <v>Español</v>
      </c>
      <c r="J5" s="24" t="str">
        <v>Español</v>
      </c>
      <c r="K5"/>
      <c r="L5"/>
      <c r="M5"/>
    </row>
    <row r="6" spans="2:13">
      <c r="B6" s="7" t="s">
        <v>12</v>
      </c>
      <c r="C6" s="8" t="s">
        <v>15</v>
      </c>
      <c r="D6" s="8">
        <v>82</v>
      </c>
      <c r="F6" s="4" t="s">
        <v>41</v>
      </c>
      <c r="G6" s="5">
        <f>MIN(_xlfn.ANCHORARRAY(F11))</f>
        <v>55</v>
      </c>
      <c r="I6" s="13" t="str">
        <v>Biología</v>
      </c>
      <c r="J6" s="24" t="str">
        <v>Biología</v>
      </c>
      <c r="K6"/>
      <c r="L6"/>
      <c r="M6"/>
    </row>
    <row r="7" spans="2:13">
      <c r="B7" s="7" t="s">
        <v>14</v>
      </c>
      <c r="C7" s="8" t="s">
        <v>15</v>
      </c>
      <c r="D7" s="8">
        <v>94</v>
      </c>
      <c r="F7" s="4" t="s">
        <v>42</v>
      </c>
      <c r="G7" s="5">
        <f>MAX(_xlfn.ANCHORARRAY(F11))</f>
        <v>100</v>
      </c>
      <c r="I7" s="13" t="str">
        <v>Inglés</v>
      </c>
      <c r="J7" s="24" t="str">
        <v>Inglés</v>
      </c>
      <c r="K7"/>
      <c r="L7"/>
      <c r="M7"/>
    </row>
    <row r="8" spans="2:13">
      <c r="B8" s="7" t="s">
        <v>16</v>
      </c>
      <c r="C8" s="8" t="s">
        <v>8</v>
      </c>
      <c r="D8" s="8">
        <v>52</v>
      </c>
      <c r="F8" s="4" t="s">
        <v>43</v>
      </c>
      <c r="G8" s="5">
        <f>COUNTA(INDEX(_xlfn.ANCHORARRAY(F11),,1))</f>
        <v>3</v>
      </c>
      <c r="I8" s="13" t="str">
        <v>Francés</v>
      </c>
      <c r="J8" s="13" t="str">
        <v>Francés</v>
      </c>
    </row>
    <row r="9" spans="2:13">
      <c r="B9" s="7" t="s">
        <v>17</v>
      </c>
      <c r="C9" s="8" t="s">
        <v>8</v>
      </c>
      <c r="D9" s="8">
        <v>98</v>
      </c>
      <c r="I9" s="13" t="str">
        <v>Historia</v>
      </c>
      <c r="J9" s="13" t="str">
        <v>Historia</v>
      </c>
    </row>
    <row r="10" spans="2:13">
      <c r="B10" s="7" t="s">
        <v>18</v>
      </c>
      <c r="C10" s="8" t="s">
        <v>11</v>
      </c>
      <c r="D10" s="8">
        <v>55</v>
      </c>
      <c r="F10" s="9" t="s">
        <v>44</v>
      </c>
      <c r="G10" s="9" t="s">
        <v>3</v>
      </c>
      <c r="H10" s="9" t="s">
        <v>4</v>
      </c>
      <c r="I10" s="13" t="str">
        <v>Tecnología</v>
      </c>
      <c r="J10" s="13" t="str">
        <v>Tecnología</v>
      </c>
    </row>
    <row r="11" spans="2:13">
      <c r="B11" s="7" t="s">
        <v>19</v>
      </c>
      <c r="C11" s="8" t="s">
        <v>22</v>
      </c>
      <c r="D11" s="8">
        <v>75</v>
      </c>
      <c r="F11" t="str" cm="1">
        <f t="array" ref="F11:H13">_xlfn._xlws.FILTER(B3:D18,C3:C18=G4)</f>
        <v>Laura Rodríguez</v>
      </c>
      <c r="G11" s="2" t="str">
        <v>Inglés</v>
      </c>
      <c r="H11" s="2">
        <v>55</v>
      </c>
    </row>
    <row r="12" spans="2:13">
      <c r="B12" s="7" t="s">
        <v>21</v>
      </c>
      <c r="C12" s="8" t="s">
        <v>22</v>
      </c>
      <c r="D12" s="8">
        <v>99</v>
      </c>
      <c r="F12" s="1" t="str">
        <v>Alex Malbon</v>
      </c>
      <c r="G12" s="2" t="str">
        <v>Inglés</v>
      </c>
      <c r="H12" s="2">
        <v>100</v>
      </c>
    </row>
    <row r="13" spans="2:13">
      <c r="B13" s="7" t="s">
        <v>23</v>
      </c>
      <c r="C13" s="8" t="s">
        <v>24</v>
      </c>
      <c r="D13" s="8">
        <v>84</v>
      </c>
      <c r="F13" s="1" t="str">
        <v>Oscar Miastri</v>
      </c>
      <c r="G13" s="2" t="str">
        <v>Inglés</v>
      </c>
      <c r="H13" s="2">
        <v>74</v>
      </c>
    </row>
    <row r="14" spans="2:13">
      <c r="B14" s="7" t="s">
        <v>25</v>
      </c>
      <c r="C14" s="8" t="s">
        <v>26</v>
      </c>
      <c r="D14" s="8">
        <v>60</v>
      </c>
      <c r="G14" s="2"/>
      <c r="H14" s="2"/>
    </row>
    <row r="15" spans="2:13">
      <c r="B15" s="7" t="s">
        <v>27</v>
      </c>
      <c r="C15" s="8" t="s">
        <v>15</v>
      </c>
      <c r="D15" s="8">
        <v>72</v>
      </c>
      <c r="G15" s="2"/>
      <c r="H15" s="2"/>
    </row>
    <row r="16" spans="2:13">
      <c r="B16" s="7" t="s">
        <v>28</v>
      </c>
      <c r="C16" s="8" t="s">
        <v>11</v>
      </c>
      <c r="D16" s="8">
        <v>100</v>
      </c>
      <c r="G16" s="2"/>
      <c r="H16" s="2"/>
    </row>
    <row r="17" spans="2:4">
      <c r="B17" s="7" t="s">
        <v>25</v>
      </c>
      <c r="C17" s="8" t="s">
        <v>15</v>
      </c>
      <c r="D17" s="8">
        <v>63</v>
      </c>
    </row>
    <row r="18" spans="2:4">
      <c r="B18" s="7" t="s">
        <v>29</v>
      </c>
      <c r="C18" s="8" t="s">
        <v>11</v>
      </c>
      <c r="D18" s="8">
        <v>74</v>
      </c>
    </row>
  </sheetData>
  <dataValidations count="1">
    <dataValidation type="list" allowBlank="1" showInputMessage="1" showErrorMessage="1" sqref="G4" xr:uid="{31B844D7-78DF-452C-A270-366981F4B9FC}">
      <formula1>_xlfn.ANCHORARRAY($J$4)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77DE-F535-D642-97B9-CF59F0879680}">
  <dimension ref="B2:L18"/>
  <sheetViews>
    <sheetView zoomScale="130" zoomScaleNormal="130" workbookViewId="0">
      <selection activeCell="J17" sqref="J17"/>
    </sheetView>
  </sheetViews>
  <sheetFormatPr defaultColWidth="10.85546875" defaultRowHeight="15"/>
  <cols>
    <col min="1" max="1" width="2.85546875" style="1" customWidth="1"/>
    <col min="2" max="2" width="16.7109375" style="1" bestFit="1" customWidth="1"/>
    <col min="3" max="3" width="11.42578125" style="1" bestFit="1" customWidth="1"/>
    <col min="4" max="4" width="7.85546875" style="1" bestFit="1" customWidth="1"/>
    <col min="5" max="5" width="20.28515625" style="1" bestFit="1" customWidth="1"/>
    <col min="6" max="6" width="18.85546875" style="1" bestFit="1" customWidth="1"/>
    <col min="7" max="7" width="18.85546875" style="1" customWidth="1"/>
    <col min="8" max="8" width="18.85546875" style="1" bestFit="1" customWidth="1"/>
    <col min="9" max="9" width="12.28515625" style="1" bestFit="1" customWidth="1"/>
    <col min="10" max="10" width="7.85546875" style="1" bestFit="1" customWidth="1"/>
    <col min="11" max="16384" width="10.85546875" style="1"/>
  </cols>
  <sheetData>
    <row r="2" spans="2:12">
      <c r="B2" s="3" t="s">
        <v>2</v>
      </c>
      <c r="C2" s="3" t="s">
        <v>3</v>
      </c>
      <c r="D2" s="3" t="s">
        <v>4</v>
      </c>
      <c r="F2" s="10" t="s">
        <v>45</v>
      </c>
      <c r="G2" s="10"/>
      <c r="H2" s="11"/>
      <c r="I2" s="11"/>
    </row>
    <row r="3" spans="2:12">
      <c r="B3" s="1" t="s">
        <v>7</v>
      </c>
      <c r="C3" s="2" t="s">
        <v>8</v>
      </c>
      <c r="D3" s="2">
        <v>81</v>
      </c>
      <c r="L3" s="1" t="str" cm="1">
        <f t="array" ref="L3:L8">_xlfn.UNIQUE(Table35[Materia])</f>
        <v>Matemáticas</v>
      </c>
    </row>
    <row r="4" spans="2:12">
      <c r="B4" s="1" t="s">
        <v>9</v>
      </c>
      <c r="C4" s="2" t="s">
        <v>8</v>
      </c>
      <c r="D4" s="2">
        <v>54</v>
      </c>
      <c r="F4" s="4" t="s">
        <v>39</v>
      </c>
      <c r="G4" s="4"/>
      <c r="H4" s="5" t="s">
        <v>15</v>
      </c>
      <c r="I4" s="1" t="s">
        <v>11</v>
      </c>
      <c r="L4" s="1" t="str">
        <v>Inglés</v>
      </c>
    </row>
    <row r="5" spans="2:12">
      <c r="B5" s="1" t="s">
        <v>10</v>
      </c>
      <c r="C5" s="2" t="s">
        <v>11</v>
      </c>
      <c r="D5" s="2">
        <v>81</v>
      </c>
      <c r="F5" s="4" t="s">
        <v>40</v>
      </c>
      <c r="G5" s="4"/>
      <c r="H5" s="6">
        <f>AVERAGE(_xlfn.ANCHORARRAY(F11))</f>
        <v>77.75</v>
      </c>
      <c r="L5" s="1" t="str">
        <v>Biología</v>
      </c>
    </row>
    <row r="6" spans="2:12">
      <c r="B6" s="1" t="s">
        <v>12</v>
      </c>
      <c r="C6" s="2" t="s">
        <v>15</v>
      </c>
      <c r="D6" s="2">
        <v>82</v>
      </c>
      <c r="F6" s="4" t="s">
        <v>41</v>
      </c>
      <c r="G6" s="4"/>
      <c r="H6" s="5">
        <f>MIN(_xlfn.ANCHORARRAY(F11))</f>
        <v>63</v>
      </c>
      <c r="L6" s="1" t="str">
        <v>Francés</v>
      </c>
    </row>
    <row r="7" spans="2:12">
      <c r="B7" s="1" t="s">
        <v>14</v>
      </c>
      <c r="C7" s="2" t="s">
        <v>15</v>
      </c>
      <c r="D7" s="2">
        <v>94</v>
      </c>
      <c r="F7" s="4" t="s">
        <v>42</v>
      </c>
      <c r="G7" s="4"/>
      <c r="H7" s="5">
        <f>MAX(_xlfn.ANCHORARRAY(F11))</f>
        <v>94</v>
      </c>
      <c r="L7" s="1" t="str">
        <v>Historia</v>
      </c>
    </row>
    <row r="8" spans="2:12">
      <c r="B8" s="1" t="s">
        <v>16</v>
      </c>
      <c r="C8" s="2" t="s">
        <v>8</v>
      </c>
      <c r="D8" s="2">
        <v>52</v>
      </c>
      <c r="F8" s="4" t="s">
        <v>43</v>
      </c>
      <c r="G8" s="4"/>
      <c r="H8" s="5">
        <f>COUNTA(INDEX(_xlfn.ANCHORARRAY(F11),0,1))</f>
        <v>4</v>
      </c>
      <c r="L8" s="1" t="str">
        <v>Tecnología</v>
      </c>
    </row>
    <row r="9" spans="2:12">
      <c r="B9" s="1" t="s">
        <v>17</v>
      </c>
      <c r="C9" s="2" t="s">
        <v>8</v>
      </c>
      <c r="D9" s="2">
        <v>98</v>
      </c>
    </row>
    <row r="10" spans="2:12">
      <c r="B10" s="1" t="s">
        <v>18</v>
      </c>
      <c r="C10" s="2" t="s">
        <v>11</v>
      </c>
      <c r="D10" s="2">
        <v>55</v>
      </c>
      <c r="F10" s="9" t="s">
        <v>44</v>
      </c>
      <c r="G10" s="9"/>
      <c r="H10" s="9" t="s">
        <v>3</v>
      </c>
      <c r="I10" s="9" t="s">
        <v>4</v>
      </c>
    </row>
    <row r="11" spans="2:12">
      <c r="B11" s="1" t="s">
        <v>19</v>
      </c>
      <c r="C11" s="2" t="s">
        <v>22</v>
      </c>
      <c r="D11" s="2">
        <v>75</v>
      </c>
      <c r="F11" s="1" t="str" cm="1">
        <f t="array" ref="F11:H14">_xlfn._xlws.FILTER(B3:D18,C3:C18=H4)</f>
        <v>Marta Vásquez</v>
      </c>
      <c r="G11" s="1" t="str">
        <v>Biología</v>
      </c>
      <c r="H11" s="2">
        <v>82</v>
      </c>
      <c r="I11" s="2"/>
    </row>
    <row r="12" spans="2:12">
      <c r="B12" s="1" t="s">
        <v>21</v>
      </c>
      <c r="C12" s="2" t="s">
        <v>22</v>
      </c>
      <c r="D12" s="2">
        <v>99</v>
      </c>
      <c r="F12" s="1" t="str">
        <v>Juan Castillo</v>
      </c>
      <c r="G12" s="1" t="str">
        <v>Biología</v>
      </c>
      <c r="H12" s="2">
        <v>94</v>
      </c>
      <c r="I12" s="2"/>
    </row>
    <row r="13" spans="2:12">
      <c r="B13" s="1" t="s">
        <v>23</v>
      </c>
      <c r="C13" s="2" t="s">
        <v>24</v>
      </c>
      <c r="D13" s="2">
        <v>84</v>
      </c>
      <c r="F13" s="1" t="str">
        <v>Sebastian Mettel</v>
      </c>
      <c r="G13" s="1" t="str">
        <v>Biología</v>
      </c>
      <c r="H13" s="2">
        <v>72</v>
      </c>
      <c r="I13" s="2"/>
    </row>
    <row r="14" spans="2:12">
      <c r="B14" s="1" t="s">
        <v>25</v>
      </c>
      <c r="C14" s="2" t="s">
        <v>26</v>
      </c>
      <c r="D14" s="2">
        <v>60</v>
      </c>
      <c r="F14" s="1" t="str">
        <v>Kevin Fergussen</v>
      </c>
      <c r="G14" s="1" t="str">
        <v>Biología</v>
      </c>
      <c r="H14" s="2">
        <v>63</v>
      </c>
      <c r="I14" s="2"/>
    </row>
    <row r="15" spans="2:12">
      <c r="B15" s="1" t="s">
        <v>27</v>
      </c>
      <c r="C15" s="2" t="s">
        <v>15</v>
      </c>
      <c r="D15" s="2">
        <v>72</v>
      </c>
      <c r="H15" s="2"/>
      <c r="I15" s="2"/>
    </row>
    <row r="16" spans="2:12">
      <c r="B16" s="1" t="s">
        <v>28</v>
      </c>
      <c r="C16" s="2" t="s">
        <v>11</v>
      </c>
      <c r="D16" s="2">
        <v>100</v>
      </c>
      <c r="H16" s="2"/>
      <c r="I16" s="2"/>
    </row>
    <row r="17" spans="2:4">
      <c r="B17" s="1" t="s">
        <v>25</v>
      </c>
      <c r="C17" s="2" t="s">
        <v>15</v>
      </c>
      <c r="D17" s="2">
        <v>63</v>
      </c>
    </row>
    <row r="18" spans="2:4">
      <c r="B18" s="1" t="s">
        <v>29</v>
      </c>
      <c r="C18" s="2" t="s">
        <v>11</v>
      </c>
      <c r="D18" s="2">
        <v>74</v>
      </c>
    </row>
  </sheetData>
  <dataValidations count="1">
    <dataValidation type="list" allowBlank="1" showInputMessage="1" showErrorMessage="1" sqref="H4:I4" xr:uid="{5B188168-4D98-4FB3-BFD4-AF3E523F222D}">
      <formula1>_xlfn.ANCHORARRAY($L$3)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58BD-9D6D-4526-A9CB-5E4F9E982CA7}">
  <dimension ref="B1:M17"/>
  <sheetViews>
    <sheetView workbookViewId="0">
      <selection activeCell="J4" sqref="J4"/>
    </sheetView>
  </sheetViews>
  <sheetFormatPr defaultRowHeight="15"/>
  <cols>
    <col min="2" max="2" width="17" customWidth="1"/>
    <col min="3" max="3" width="12.28515625" customWidth="1"/>
    <col min="10" max="10" width="18.7109375" customWidth="1"/>
    <col min="11" max="11" width="26.5703125" customWidth="1"/>
    <col min="13" max="13" width="16" customWidth="1"/>
  </cols>
  <sheetData>
    <row r="1" spans="2:13">
      <c r="B1" t="s">
        <v>2</v>
      </c>
      <c r="C1" t="s">
        <v>3</v>
      </c>
      <c r="D1" t="s">
        <v>4</v>
      </c>
      <c r="E1" t="s">
        <v>30</v>
      </c>
      <c r="G1" t="s">
        <v>46</v>
      </c>
      <c r="H1" t="s">
        <v>47</v>
      </c>
      <c r="J1" t="s">
        <v>3</v>
      </c>
      <c r="K1" t="s">
        <v>15</v>
      </c>
    </row>
    <row r="2" spans="2:13">
      <c r="B2" t="s">
        <v>7</v>
      </c>
      <c r="C2" t="s">
        <v>8</v>
      </c>
      <c r="D2">
        <v>81</v>
      </c>
      <c r="E2" cm="1">
        <f t="array" ref="E2:E17">D2:D17+10</f>
        <v>91</v>
      </c>
      <c r="G2" t="str" cm="1">
        <f t="array" ref="G2:G9">_xlfn.UNIQUE(C2:C17)</f>
        <v>Matemáticas</v>
      </c>
      <c r="H2">
        <f>COUNTA(_xlfn.ANCHORARRAY(G2))</f>
        <v>8</v>
      </c>
      <c r="J2" t="s">
        <v>48</v>
      </c>
      <c r="K2">
        <f>AVERAGE(_xlfn.ANCHORARRAY(J14))</f>
        <v>76.333333333333329</v>
      </c>
      <c r="M2" t="str" cm="1">
        <f t="array" ref="M2:M9">_xlfn.UNIQUE(C2:C17)</f>
        <v>Matemáticas</v>
      </c>
    </row>
    <row r="3" spans="2:13">
      <c r="B3" t="s">
        <v>9</v>
      </c>
      <c r="C3" t="s">
        <v>8</v>
      </c>
      <c r="D3">
        <v>54</v>
      </c>
      <c r="E3">
        <v>64</v>
      </c>
      <c r="G3" t="str">
        <v>Inglés</v>
      </c>
      <c r="J3" t="s">
        <v>49</v>
      </c>
      <c r="K3">
        <f>MIN(_xlfn.ANCHORARRAY(J14))</f>
        <v>63</v>
      </c>
      <c r="M3" t="str">
        <v>Inglés</v>
      </c>
    </row>
    <row r="4" spans="2:13">
      <c r="B4" t="s">
        <v>10</v>
      </c>
      <c r="C4" t="s">
        <v>11</v>
      </c>
      <c r="D4">
        <v>81</v>
      </c>
      <c r="E4">
        <v>91</v>
      </c>
      <c r="G4" t="str">
        <v>Español</v>
      </c>
      <c r="J4" t="s">
        <v>50</v>
      </c>
      <c r="K4">
        <f>MAX(_xlfn.ANCHORARRAY(J14))</f>
        <v>94</v>
      </c>
      <c r="M4" t="str">
        <v>Español</v>
      </c>
    </row>
    <row r="5" spans="2:13">
      <c r="B5" t="s">
        <v>12</v>
      </c>
      <c r="C5" t="s">
        <v>13</v>
      </c>
      <c r="D5">
        <v>82</v>
      </c>
      <c r="E5">
        <v>92</v>
      </c>
      <c r="G5" t="str">
        <v>Biología</v>
      </c>
      <c r="J5" t="s">
        <v>51</v>
      </c>
      <c r="K5">
        <f>COUNTA(INDEX(_xlfn.ANCHORARRAY(J14),,1))</f>
        <v>3</v>
      </c>
      <c r="M5" t="str">
        <v>Biología</v>
      </c>
    </row>
    <row r="6" spans="2:13">
      <c r="B6" t="s">
        <v>14</v>
      </c>
      <c r="C6" t="s">
        <v>15</v>
      </c>
      <c r="D6">
        <v>94</v>
      </c>
      <c r="E6">
        <v>104</v>
      </c>
      <c r="G6" t="str">
        <v>Ciencias</v>
      </c>
      <c r="H6">
        <f>COUNTA(_xlfn.ANCHORARRAY(G2))</f>
        <v>8</v>
      </c>
      <c r="M6" t="str">
        <v>Ciencias</v>
      </c>
    </row>
    <row r="7" spans="2:13">
      <c r="B7" t="s">
        <v>16</v>
      </c>
      <c r="C7" t="s">
        <v>8</v>
      </c>
      <c r="D7">
        <v>52</v>
      </c>
      <c r="E7">
        <v>62</v>
      </c>
      <c r="G7" t="str">
        <v>Francés</v>
      </c>
      <c r="M7" t="str">
        <v>Francés</v>
      </c>
    </row>
    <row r="8" spans="2:13">
      <c r="B8" t="s">
        <v>17</v>
      </c>
      <c r="C8" t="s">
        <v>8</v>
      </c>
      <c r="D8">
        <v>98</v>
      </c>
      <c r="E8">
        <v>108</v>
      </c>
      <c r="G8" t="str">
        <v>Historia</v>
      </c>
      <c r="M8" t="str">
        <v>Historia</v>
      </c>
    </row>
    <row r="9" spans="2:13">
      <c r="B9" t="s">
        <v>18</v>
      </c>
      <c r="C9" t="s">
        <v>11</v>
      </c>
      <c r="D9">
        <v>55</v>
      </c>
      <c r="E9">
        <v>65</v>
      </c>
      <c r="G9" t="str">
        <v>Tecnología</v>
      </c>
      <c r="M9" t="str">
        <v>Tecnología</v>
      </c>
    </row>
    <row r="10" spans="2:13">
      <c r="B10" t="s">
        <v>19</v>
      </c>
      <c r="C10" t="s">
        <v>20</v>
      </c>
      <c r="D10">
        <v>75</v>
      </c>
      <c r="E10">
        <v>85</v>
      </c>
    </row>
    <row r="11" spans="2:13">
      <c r="B11" t="s">
        <v>21</v>
      </c>
      <c r="C11" t="s">
        <v>22</v>
      </c>
      <c r="D11">
        <v>99</v>
      </c>
      <c r="E11">
        <v>109</v>
      </c>
    </row>
    <row r="12" spans="2:13">
      <c r="B12" t="s">
        <v>23</v>
      </c>
      <c r="C12" t="s">
        <v>24</v>
      </c>
      <c r="D12">
        <v>84</v>
      </c>
      <c r="E12">
        <v>94</v>
      </c>
    </row>
    <row r="13" spans="2:13">
      <c r="B13" t="s">
        <v>25</v>
      </c>
      <c r="C13" t="s">
        <v>26</v>
      </c>
      <c r="D13">
        <v>60</v>
      </c>
      <c r="E13">
        <v>70</v>
      </c>
    </row>
    <row r="14" spans="2:13">
      <c r="B14" t="s">
        <v>27</v>
      </c>
      <c r="C14" t="s">
        <v>15</v>
      </c>
      <c r="D14">
        <v>72</v>
      </c>
      <c r="E14">
        <v>82</v>
      </c>
      <c r="J14" t="str" cm="1">
        <f t="array" ref="J14:L16">_xlfn._xlws.FILTER(B2:D17,C2:C17=K1)</f>
        <v>Juan Castillo</v>
      </c>
      <c r="K14" t="str">
        <v>Biología</v>
      </c>
      <c r="L14">
        <v>94</v>
      </c>
    </row>
    <row r="15" spans="2:13">
      <c r="B15" t="s">
        <v>28</v>
      </c>
      <c r="C15" t="s">
        <v>11</v>
      </c>
      <c r="D15">
        <v>100</v>
      </c>
      <c r="E15">
        <v>110</v>
      </c>
      <c r="J15" t="str">
        <v>Sebastian Mettel</v>
      </c>
      <c r="K15" t="str">
        <v>Biología</v>
      </c>
      <c r="L15">
        <v>72</v>
      </c>
    </row>
    <row r="16" spans="2:13">
      <c r="B16" t="s">
        <v>25</v>
      </c>
      <c r="C16" t="s">
        <v>15</v>
      </c>
      <c r="D16">
        <v>63</v>
      </c>
      <c r="E16">
        <v>73</v>
      </c>
      <c r="J16" t="str">
        <v>Kevin Fergussen</v>
      </c>
      <c r="K16" t="str">
        <v>Biología</v>
      </c>
      <c r="L16">
        <v>63</v>
      </c>
    </row>
    <row r="17" spans="2:5">
      <c r="B17" t="s">
        <v>29</v>
      </c>
      <c r="C17" t="s">
        <v>11</v>
      </c>
      <c r="D17">
        <v>74</v>
      </c>
      <c r="E17">
        <v>84</v>
      </c>
    </row>
  </sheetData>
  <dataValidations count="1">
    <dataValidation type="list" allowBlank="1" showInputMessage="1" showErrorMessage="1" sqref="K1" xr:uid="{84A614E2-FEA4-4113-AA6F-F26F3309F621}">
      <formula1>_xlfn.ANCHORARRAY($M$2)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01D9-98EE-4860-A2E2-3423BC2A149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Hazlo Con Excel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Serrano</dc:creator>
  <cp:keywords/>
  <dc:description/>
  <cp:lastModifiedBy>Usuario invitado</cp:lastModifiedBy>
  <cp:revision/>
  <dcterms:created xsi:type="dcterms:W3CDTF">2024-09-23T07:29:26Z</dcterms:created>
  <dcterms:modified xsi:type="dcterms:W3CDTF">2025-10-28T15:52:25Z</dcterms:modified>
  <cp:category/>
  <cp:contentStatus/>
</cp:coreProperties>
</file>